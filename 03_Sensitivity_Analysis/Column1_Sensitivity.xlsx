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1\"/>
    </mc:Choice>
  </mc:AlternateContent>
  <xr:revisionPtr revIDLastSave="0" documentId="13_ncr:1_{2708276D-3973-433A-AB2C-6737027FA2E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put_Conditions 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P8" i="2"/>
  <c r="N8" i="2"/>
  <c r="Q8" i="2"/>
  <c r="F8" i="2"/>
  <c r="O8" i="2" s="1"/>
  <c r="P7" i="2"/>
  <c r="G7" i="2"/>
  <c r="F7" i="2"/>
  <c r="O7" i="2"/>
  <c r="N7" i="2"/>
  <c r="Q7" i="2"/>
  <c r="G6" i="2"/>
  <c r="P6" i="2"/>
  <c r="F6" i="2"/>
  <c r="O6" i="2"/>
  <c r="N6" i="2"/>
  <c r="Q6" i="2" s="1"/>
  <c r="Q3" i="2"/>
  <c r="Q10" i="2"/>
  <c r="Q11" i="2"/>
  <c r="Q2" i="2"/>
  <c r="P3" i="2"/>
  <c r="P4" i="2"/>
  <c r="P5" i="2"/>
  <c r="P9" i="2"/>
  <c r="P10" i="2"/>
  <c r="P11" i="2"/>
  <c r="P2" i="2"/>
  <c r="O5" i="2"/>
  <c r="O9" i="2"/>
  <c r="O10" i="2"/>
  <c r="N3" i="2"/>
  <c r="N4" i="2"/>
  <c r="Q4" i="2" s="1"/>
  <c r="N5" i="2"/>
  <c r="Q5" i="2" s="1"/>
  <c r="N9" i="2"/>
  <c r="Q9" i="2" s="1"/>
  <c r="N10" i="2"/>
  <c r="N11" i="2"/>
  <c r="N2" i="2"/>
  <c r="G11" i="2"/>
  <c r="F11" i="2"/>
  <c r="O11" i="2" s="1"/>
  <c r="G10" i="2"/>
  <c r="F10" i="2"/>
  <c r="G9" i="2"/>
  <c r="F9" i="2"/>
  <c r="G4" i="2"/>
  <c r="G5" i="2"/>
  <c r="F4" i="2"/>
  <c r="O4" i="2" s="1"/>
  <c r="F5" i="2"/>
  <c r="F2" i="2"/>
  <c r="O2" i="2" s="1"/>
  <c r="G3" i="2"/>
  <c r="F3" i="2"/>
  <c r="O3" i="2" s="1"/>
  <c r="G2" i="2"/>
</calcChain>
</file>

<file path=xl/sharedStrings.xml><?xml version="1.0" encoding="utf-8"?>
<sst xmlns="http://schemas.openxmlformats.org/spreadsheetml/2006/main" count="40" uniqueCount="31">
  <si>
    <t>Run</t>
  </si>
  <si>
    <t>RR</t>
  </si>
  <si>
    <t>Boilup Ratio</t>
  </si>
  <si>
    <t>EG Flow (kg/h)</t>
  </si>
  <si>
    <t>Feed Flow (kg/h)</t>
  </si>
  <si>
    <t>Stages</t>
  </si>
  <si>
    <t>Feed Stage</t>
  </si>
  <si>
    <t>Solvent Stage</t>
  </si>
  <si>
    <t>Feed Temp (°C)</t>
  </si>
  <si>
    <t>Solvent Temp (°C)</t>
  </si>
  <si>
    <t>Feed Pressure (bar)</t>
  </si>
  <si>
    <t>Solvent Pressure (bar)</t>
  </si>
  <si>
    <t>Top Flow (kg/h)</t>
  </si>
  <si>
    <t>Bottom Flow (kg/h)</t>
  </si>
  <si>
    <t>Ethanol Top wt%</t>
  </si>
  <si>
    <t>Water Top wt%</t>
  </si>
  <si>
    <t>EG Top wt%</t>
  </si>
  <si>
    <t>Ethanol Bottom wt%</t>
  </si>
  <si>
    <t>Water Bottom wt%</t>
  </si>
  <si>
    <t>EG Bottom wt%</t>
  </si>
  <si>
    <t>Top Temperature (C)</t>
  </si>
  <si>
    <t>Bottom Temperature (C)</t>
  </si>
  <si>
    <t>Reboiler Duty (kW)</t>
  </si>
  <si>
    <t>Condensor Duty (kW)</t>
  </si>
  <si>
    <t>Ethanol Production Rate</t>
  </si>
  <si>
    <t>Water Contamination</t>
  </si>
  <si>
    <t>EG Recovery</t>
  </si>
  <si>
    <t>Ethanol Recovery</t>
  </si>
  <si>
    <t xml:space="preserve">Phase of bottom </t>
  </si>
  <si>
    <t>V+L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</si>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</sst>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0" fontId="0" fillId="2" borderId="1" xfId="1" applyFont="1"/>
    <xf numFmtId="3" fontId="0" fillId="2" borderId="1" xfId="1" applyNumberFormat="1" applyFont="1"/>
    <xf numFmtId="0" fontId="3" fillId="3" borderId="0" xfId="2"/>
    <xf numFmtId="3" fontId="3" fillId="3" borderId="0" xfId="2" applyNumberFormat="1"/>
  </cellXfs>
  <cellStyles count="3">
    <cellStyle name="Good" xfId="2" builtinId="26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M16" sqref="M16"/>
    </sheetView>
  </sheetViews>
  <sheetFormatPr defaultRowHeight="14.5" x14ac:dyDescent="0.35"/>
  <sheetData>
    <row r="1" spans="1:1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5">
      <c r="A2">
        <v>1</v>
      </c>
      <c r="B2">
        <v>2.8250000000000002</v>
      </c>
      <c r="C2">
        <v>2</v>
      </c>
      <c r="D2" s="2">
        <v>19800</v>
      </c>
      <c r="E2">
        <v>5173</v>
      </c>
      <c r="F2">
        <v>15</v>
      </c>
      <c r="G2">
        <v>8</v>
      </c>
      <c r="H2">
        <v>2</v>
      </c>
      <c r="I2">
        <v>111.2</v>
      </c>
      <c r="J2">
        <v>197</v>
      </c>
      <c r="K2">
        <v>3.5</v>
      </c>
      <c r="L2">
        <v>4.5</v>
      </c>
    </row>
    <row r="3" spans="1:12" x14ac:dyDescent="0.35">
      <c r="A3">
        <v>2</v>
      </c>
      <c r="B3">
        <v>2.8250000000000002</v>
      </c>
      <c r="C3">
        <v>1.5</v>
      </c>
      <c r="D3" s="2">
        <v>19800</v>
      </c>
      <c r="E3">
        <v>5173</v>
      </c>
      <c r="F3">
        <v>15</v>
      </c>
      <c r="G3">
        <v>8</v>
      </c>
      <c r="H3">
        <v>2</v>
      </c>
      <c r="I3">
        <v>111.2</v>
      </c>
      <c r="J3">
        <v>197</v>
      </c>
      <c r="K3">
        <v>3.5</v>
      </c>
      <c r="L3">
        <v>4.5</v>
      </c>
    </row>
    <row r="4" spans="1:12" x14ac:dyDescent="0.35">
      <c r="A4">
        <v>3</v>
      </c>
      <c r="B4">
        <v>2.8250000000000002</v>
      </c>
      <c r="C4">
        <v>1</v>
      </c>
      <c r="D4" s="2">
        <v>19800</v>
      </c>
      <c r="E4">
        <v>5173</v>
      </c>
      <c r="F4">
        <v>15</v>
      </c>
      <c r="G4">
        <v>8</v>
      </c>
      <c r="H4">
        <v>2</v>
      </c>
      <c r="I4">
        <v>111.2</v>
      </c>
      <c r="J4">
        <v>197</v>
      </c>
      <c r="K4">
        <v>3.5</v>
      </c>
      <c r="L4">
        <v>4.5</v>
      </c>
    </row>
    <row r="5" spans="1:12" x14ac:dyDescent="0.35">
      <c r="A5">
        <v>4</v>
      </c>
      <c r="B5">
        <v>2.8250000000000002</v>
      </c>
      <c r="C5">
        <v>0.5</v>
      </c>
      <c r="D5" s="2">
        <v>19800</v>
      </c>
      <c r="E5">
        <v>5173</v>
      </c>
      <c r="F5">
        <v>15</v>
      </c>
      <c r="G5">
        <v>8</v>
      </c>
      <c r="H5">
        <v>2</v>
      </c>
      <c r="I5">
        <v>111.2</v>
      </c>
      <c r="J5">
        <v>197</v>
      </c>
      <c r="K5">
        <v>3.5</v>
      </c>
      <c r="L5">
        <v>4.5</v>
      </c>
    </row>
    <row r="6" spans="1:12" x14ac:dyDescent="0.35">
      <c r="A6" s="3">
        <v>5</v>
      </c>
      <c r="B6" s="3">
        <v>2.8250000000000002</v>
      </c>
      <c r="C6" s="3">
        <v>0.47</v>
      </c>
      <c r="D6" s="4">
        <v>19800</v>
      </c>
      <c r="E6" s="3">
        <v>5173</v>
      </c>
      <c r="F6" s="3">
        <v>15</v>
      </c>
      <c r="G6" s="3">
        <v>8</v>
      </c>
      <c r="H6" s="3">
        <v>2</v>
      </c>
      <c r="I6" s="3">
        <v>111.2</v>
      </c>
      <c r="J6" s="3">
        <v>197</v>
      </c>
      <c r="K6" s="3">
        <v>3.5</v>
      </c>
      <c r="L6" s="3">
        <v>4.5</v>
      </c>
    </row>
    <row r="7" spans="1:12" x14ac:dyDescent="0.35">
      <c r="A7">
        <v>6</v>
      </c>
      <c r="B7">
        <v>2.8250000000000002</v>
      </c>
      <c r="C7">
        <v>0.45</v>
      </c>
      <c r="D7" s="2">
        <v>19800</v>
      </c>
      <c r="E7">
        <v>5173</v>
      </c>
      <c r="F7">
        <v>15</v>
      </c>
      <c r="G7">
        <v>8</v>
      </c>
      <c r="H7">
        <v>2</v>
      </c>
      <c r="I7">
        <v>111.2</v>
      </c>
      <c r="J7">
        <v>197</v>
      </c>
      <c r="K7">
        <v>3.5</v>
      </c>
      <c r="L7">
        <v>4.5</v>
      </c>
    </row>
    <row r="8" spans="1:12" x14ac:dyDescent="0.35">
      <c r="A8">
        <v>7</v>
      </c>
      <c r="B8">
        <v>2.8250000000000002</v>
      </c>
      <c r="C8">
        <v>0.43</v>
      </c>
      <c r="D8" s="2">
        <v>19800</v>
      </c>
      <c r="E8">
        <v>5173</v>
      </c>
      <c r="F8">
        <v>15</v>
      </c>
      <c r="G8">
        <v>8</v>
      </c>
      <c r="H8">
        <v>2</v>
      </c>
      <c r="I8">
        <v>111.2</v>
      </c>
      <c r="J8">
        <v>197</v>
      </c>
      <c r="K8">
        <v>3.5</v>
      </c>
      <c r="L8">
        <v>4.5</v>
      </c>
    </row>
    <row r="9" spans="1:12" x14ac:dyDescent="0.35">
      <c r="A9">
        <v>8</v>
      </c>
      <c r="B9">
        <v>2.8250000000000002</v>
      </c>
      <c r="C9">
        <v>0.4</v>
      </c>
      <c r="D9" s="2">
        <v>19800</v>
      </c>
      <c r="E9">
        <v>5173</v>
      </c>
      <c r="F9">
        <v>15</v>
      </c>
      <c r="G9">
        <v>8</v>
      </c>
      <c r="H9">
        <v>2</v>
      </c>
      <c r="I9">
        <v>111.2</v>
      </c>
      <c r="J9">
        <v>197</v>
      </c>
      <c r="K9">
        <v>3.5</v>
      </c>
      <c r="L9">
        <v>4.5</v>
      </c>
    </row>
    <row r="10" spans="1:12" x14ac:dyDescent="0.35">
      <c r="A10">
        <v>9</v>
      </c>
      <c r="B10">
        <v>2.8250000000000002</v>
      </c>
      <c r="C10">
        <v>0.3</v>
      </c>
      <c r="D10" s="2">
        <v>19800</v>
      </c>
      <c r="E10">
        <v>5173</v>
      </c>
      <c r="F10">
        <v>15</v>
      </c>
      <c r="G10">
        <v>8</v>
      </c>
      <c r="H10">
        <v>2</v>
      </c>
      <c r="I10">
        <v>111.2</v>
      </c>
      <c r="J10">
        <v>197</v>
      </c>
      <c r="K10">
        <v>3.5</v>
      </c>
      <c r="L10">
        <v>4.5</v>
      </c>
    </row>
    <row r="11" spans="1:12" x14ac:dyDescent="0.35">
      <c r="A11" s="5">
        <v>10</v>
      </c>
      <c r="B11" s="5">
        <v>2.8250000000000002</v>
      </c>
      <c r="C11" s="5">
        <v>0.2</v>
      </c>
      <c r="D11" s="6">
        <v>19800</v>
      </c>
      <c r="E11" s="5">
        <v>5173</v>
      </c>
      <c r="F11" s="5">
        <v>15</v>
      </c>
      <c r="G11" s="5">
        <v>8</v>
      </c>
      <c r="H11" s="5">
        <v>2</v>
      </c>
      <c r="I11" s="5">
        <v>111.2</v>
      </c>
      <c r="J11" s="5">
        <v>197</v>
      </c>
      <c r="K11" s="5">
        <v>3.5</v>
      </c>
      <c r="L11" s="5">
        <v>4.5</v>
      </c>
    </row>
    <row r="12" spans="1:12" x14ac:dyDescent="0.35">
      <c r="D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3FD5-7B78-4958-98C1-D589BDFC38B3}">
  <dimension ref="A1:R11"/>
  <sheetViews>
    <sheetView zoomScale="73" workbookViewId="0">
      <selection activeCell="H15" sqref="H15"/>
    </sheetView>
  </sheetViews>
  <sheetFormatPr defaultRowHeight="14.5" x14ac:dyDescent="0.35"/>
  <cols>
    <col min="2" max="2" width="10.453125" customWidth="1"/>
    <col min="3" max="3" width="12" customWidth="1"/>
    <col min="4" max="4" width="12.54296875" customWidth="1"/>
    <col min="5" max="5" width="12" customWidth="1"/>
    <col min="6" max="6" width="10.81640625" customWidth="1"/>
    <col min="7" max="7" width="10.7265625" customWidth="1"/>
    <col min="8" max="8" width="11" customWidth="1"/>
    <col min="9" max="9" width="10.90625" customWidth="1"/>
    <col min="10" max="10" width="12.6328125" customWidth="1"/>
    <col min="11" max="11" width="12.81640625" customWidth="1"/>
    <col min="12" max="12" width="11.08984375" customWidth="1"/>
    <col min="13" max="13" width="9.90625" bestFit="1" customWidth="1"/>
    <col min="14" max="14" width="14.81640625" customWidth="1"/>
    <col min="15" max="15" width="13.7265625" customWidth="1"/>
    <col min="16" max="16" width="10.7265625" customWidth="1"/>
    <col min="17" max="17" width="10.453125" customWidth="1"/>
  </cols>
  <sheetData>
    <row r="1" spans="1:18" ht="43.5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x14ac:dyDescent="0.35">
      <c r="A2">
        <v>1</v>
      </c>
      <c r="B2">
        <v>5359.3</v>
      </c>
      <c r="C2">
        <v>19813.7</v>
      </c>
      <c r="D2">
        <v>70.462400000000002</v>
      </c>
      <c r="E2">
        <v>29.299800000000001</v>
      </c>
      <c r="F2">
        <f t="shared" ref="F2:F11" si="0">100-(E2+D2)</f>
        <v>0.23779999999999291</v>
      </c>
      <c r="G2">
        <f t="shared" ref="G2:G11" si="1">100-(H2+I2)</f>
        <v>0</v>
      </c>
      <c r="H2">
        <v>0.13350000000000001</v>
      </c>
      <c r="I2">
        <v>99.866500000000002</v>
      </c>
      <c r="J2">
        <v>115.64100000000001</v>
      </c>
      <c r="K2">
        <v>306.65899999999999</v>
      </c>
      <c r="L2">
        <v>9115.2000000000007</v>
      </c>
      <c r="M2">
        <v>6889</v>
      </c>
      <c r="N2">
        <f>B2*(D2/100)</f>
        <v>3776.2914032000003</v>
      </c>
      <c r="O2">
        <f>B2*(F2/100)</f>
        <v>12.744415399999621</v>
      </c>
      <c r="P2">
        <f>(C2*(I2/100))/19800</f>
        <v>0.99935599547979803</v>
      </c>
      <c r="Q2">
        <f>N2/(5173*0.73)</f>
        <v>1.0000003715816319</v>
      </c>
      <c r="R2" t="s">
        <v>29</v>
      </c>
    </row>
    <row r="3" spans="1:18" x14ac:dyDescent="0.35">
      <c r="A3">
        <v>2</v>
      </c>
      <c r="B3">
        <v>5287.05</v>
      </c>
      <c r="C3">
        <v>19886</v>
      </c>
      <c r="D3">
        <v>71.425299999999993</v>
      </c>
      <c r="E3">
        <v>28.3353</v>
      </c>
      <c r="F3">
        <f t="shared" si="0"/>
        <v>0.23940000000000339</v>
      </c>
      <c r="G3">
        <f t="shared" si="1"/>
        <v>1.0000000000331966E-4</v>
      </c>
      <c r="H3">
        <v>0.49569999999999997</v>
      </c>
      <c r="I3">
        <v>99.504199999999997</v>
      </c>
      <c r="J3">
        <v>115.538</v>
      </c>
      <c r="K3">
        <v>298.13900000000001</v>
      </c>
      <c r="L3">
        <v>8778.9</v>
      </c>
      <c r="M3">
        <v>6723</v>
      </c>
      <c r="N3">
        <f t="shared" ref="N3:N11" si="2">B3*(D3/100)</f>
        <v>3776.2913236499999</v>
      </c>
      <c r="O3">
        <f t="shared" ref="O3:O11" si="3">B3*(F3/100)</f>
        <v>12.657197700000179</v>
      </c>
      <c r="P3">
        <f t="shared" ref="P3:P11" si="4">(C3*(I3/100))/19800</f>
        <v>0.9993638995959595</v>
      </c>
      <c r="Q3">
        <f t="shared" ref="Q3:Q11" si="5">N3/(5173*0.73)</f>
        <v>1.0000003505159827</v>
      </c>
      <c r="R3" t="s">
        <v>29</v>
      </c>
    </row>
    <row r="4" spans="1:18" x14ac:dyDescent="0.35">
      <c r="A4">
        <v>3</v>
      </c>
      <c r="B4">
        <v>4457.04</v>
      </c>
      <c r="C4">
        <v>20715.900000000001</v>
      </c>
      <c r="D4">
        <v>84.725399999999993</v>
      </c>
      <c r="E4">
        <v>15.0311</v>
      </c>
      <c r="F4">
        <f t="shared" si="0"/>
        <v>0.2435000000000116</v>
      </c>
      <c r="G4">
        <f t="shared" si="1"/>
        <v>1.0000000000331966E-4</v>
      </c>
      <c r="H4">
        <v>4.4737</v>
      </c>
      <c r="I4">
        <v>95.526200000000003</v>
      </c>
      <c r="J4">
        <v>114.239</v>
      </c>
      <c r="K4">
        <v>230.59200000000001</v>
      </c>
      <c r="L4">
        <v>5570.5</v>
      </c>
      <c r="M4">
        <v>4805</v>
      </c>
      <c r="N4">
        <f t="shared" si="2"/>
        <v>3776.2449681599996</v>
      </c>
      <c r="O4">
        <f t="shared" si="3"/>
        <v>10.852892400000517</v>
      </c>
      <c r="P4">
        <f t="shared" si="4"/>
        <v>0.99945010433333348</v>
      </c>
      <c r="Q4">
        <f t="shared" si="5"/>
        <v>0.99998807511075682</v>
      </c>
      <c r="R4" t="s">
        <v>29</v>
      </c>
    </row>
    <row r="5" spans="1:18" x14ac:dyDescent="0.35">
      <c r="A5">
        <v>4</v>
      </c>
      <c r="B5">
        <v>3385.25</v>
      </c>
      <c r="C5">
        <v>21787.8</v>
      </c>
      <c r="D5">
        <v>97.862899999999996</v>
      </c>
      <c r="E5">
        <v>1.8693</v>
      </c>
      <c r="F5">
        <f t="shared" si="0"/>
        <v>0.26780000000000825</v>
      </c>
      <c r="G5">
        <f t="shared" si="1"/>
        <v>2.1269000000000062</v>
      </c>
      <c r="H5">
        <v>7.0380000000000003</v>
      </c>
      <c r="I5">
        <v>90.835099999999997</v>
      </c>
      <c r="J5">
        <v>114.011</v>
      </c>
      <c r="K5">
        <v>194.827</v>
      </c>
      <c r="L5">
        <v>3144.7</v>
      </c>
      <c r="M5">
        <v>2997</v>
      </c>
      <c r="N5">
        <f t="shared" si="2"/>
        <v>3312.9038222499998</v>
      </c>
      <c r="O5">
        <f t="shared" si="3"/>
        <v>9.0656995000002798</v>
      </c>
      <c r="P5">
        <f t="shared" si="4"/>
        <v>0.99954393524242424</v>
      </c>
      <c r="Q5">
        <f t="shared" si="5"/>
        <v>0.877290627110206</v>
      </c>
      <c r="R5" t="s">
        <v>29</v>
      </c>
    </row>
    <row r="6" spans="1:18" x14ac:dyDescent="0.35">
      <c r="A6" s="3">
        <v>5</v>
      </c>
      <c r="B6" s="3">
        <v>3254.3</v>
      </c>
      <c r="C6" s="3">
        <v>21918.7</v>
      </c>
      <c r="D6" s="3">
        <v>97.781000000000006</v>
      </c>
      <c r="E6" s="3">
        <v>1.9322999999999999</v>
      </c>
      <c r="F6" s="3">
        <f>100-(E6+D6)</f>
        <v>0.28669999999999618</v>
      </c>
      <c r="G6" s="3">
        <f>100-(H6+I6)</f>
        <v>2.7109999999999985</v>
      </c>
      <c r="H6" s="3">
        <v>6.9977</v>
      </c>
      <c r="I6" s="3">
        <v>90.291300000000007</v>
      </c>
      <c r="J6" s="3">
        <v>114.01</v>
      </c>
      <c r="K6" s="3">
        <v>179.6</v>
      </c>
      <c r="L6" s="3">
        <v>2982.4</v>
      </c>
      <c r="M6" s="3">
        <v>2891</v>
      </c>
      <c r="N6" s="3">
        <f>B6*(D6/100)</f>
        <v>3182.0870830000003</v>
      </c>
      <c r="O6" s="3">
        <f>B6*(F6/100)</f>
        <v>9.3300780999998754</v>
      </c>
      <c r="P6" s="3">
        <f>(C6*(I6/100))/19800</f>
        <v>0.99952925116666669</v>
      </c>
      <c r="Q6" s="3">
        <f>N6/(5173*0.73)</f>
        <v>0.8426490240421155</v>
      </c>
      <c r="R6" s="3" t="s">
        <v>30</v>
      </c>
    </row>
    <row r="7" spans="1:18" x14ac:dyDescent="0.35">
      <c r="A7">
        <v>6</v>
      </c>
      <c r="B7">
        <v>3160.78</v>
      </c>
      <c r="C7">
        <v>22012.2</v>
      </c>
      <c r="D7">
        <v>97.716999999999999</v>
      </c>
      <c r="E7">
        <v>1.9812000000000001</v>
      </c>
      <c r="F7">
        <f>100-(E7+D7)</f>
        <v>0.30180000000000007</v>
      </c>
      <c r="G7">
        <f>100-(H7+I7)</f>
        <v>3.1242000000000019</v>
      </c>
      <c r="H7">
        <v>6.9690000000000003</v>
      </c>
      <c r="I7">
        <v>89.906800000000004</v>
      </c>
      <c r="J7">
        <v>114.008</v>
      </c>
      <c r="K7">
        <v>178.17599999999999</v>
      </c>
      <c r="L7">
        <v>2868.9</v>
      </c>
      <c r="M7">
        <v>2816</v>
      </c>
      <c r="N7">
        <f>B7*(D7/100)</f>
        <v>3088.6193926000001</v>
      </c>
      <c r="O7">
        <f>B7*(F7/100)</f>
        <v>9.5392340400000037</v>
      </c>
      <c r="P7">
        <f>(C7*(I7/100))/19800</f>
        <v>0.99951841563636379</v>
      </c>
      <c r="Q7">
        <f>N7/(5173*0.73)</f>
        <v>0.8178978289802955</v>
      </c>
      <c r="R7" t="s">
        <v>30</v>
      </c>
    </row>
    <row r="8" spans="1:18" x14ac:dyDescent="0.35">
      <c r="A8">
        <v>7</v>
      </c>
      <c r="B8">
        <v>3062.9</v>
      </c>
      <c r="C8">
        <v>22110.1</v>
      </c>
      <c r="D8">
        <v>97.646000000000001</v>
      </c>
      <c r="E8">
        <v>2.0360999999999998</v>
      </c>
      <c r="F8">
        <f>100-(E8+D8)</f>
        <v>0.31789999999999452</v>
      </c>
      <c r="G8">
        <f>100-(H8+I8)</f>
        <v>3.5527000000000015</v>
      </c>
      <c r="H8">
        <v>6.9394999999999998</v>
      </c>
      <c r="I8">
        <v>89.507800000000003</v>
      </c>
      <c r="J8">
        <v>114.00700000000001</v>
      </c>
      <c r="K8">
        <v>176.70099999999999</v>
      </c>
      <c r="L8">
        <v>2752.1</v>
      </c>
      <c r="M8">
        <v>2737</v>
      </c>
      <c r="N8">
        <f>B8*(D8/100)</f>
        <v>2990.7993340000003</v>
      </c>
      <c r="O8">
        <f>B8*(F8/100)</f>
        <v>9.736959099999833</v>
      </c>
      <c r="P8">
        <f>(C8*(I8/100))/19800</f>
        <v>0.99950828726262619</v>
      </c>
      <c r="Q8">
        <f>N8/(5173*0.73)</f>
        <v>0.79199408255192272</v>
      </c>
      <c r="R8" t="s">
        <v>30</v>
      </c>
    </row>
    <row r="9" spans="1:18" x14ac:dyDescent="0.35">
      <c r="A9">
        <v>8</v>
      </c>
      <c r="B9">
        <v>2909.07</v>
      </c>
      <c r="C9">
        <v>22263.9</v>
      </c>
      <c r="D9">
        <v>97.521900000000002</v>
      </c>
      <c r="E9">
        <v>2.1307</v>
      </c>
      <c r="F9">
        <f t="shared" si="0"/>
        <v>0.34739999999999327</v>
      </c>
      <c r="G9">
        <f t="shared" si="1"/>
        <v>4.2190000000000083</v>
      </c>
      <c r="H9">
        <v>6.8933</v>
      </c>
      <c r="I9">
        <v>88.887699999999995</v>
      </c>
      <c r="J9">
        <v>114.005</v>
      </c>
      <c r="K9">
        <v>174.51400000000001</v>
      </c>
      <c r="L9">
        <v>2572.3000000000002</v>
      </c>
      <c r="M9">
        <v>2612</v>
      </c>
      <c r="N9">
        <f t="shared" si="2"/>
        <v>2836.9803363300002</v>
      </c>
      <c r="O9">
        <f t="shared" si="3"/>
        <v>10.106109179999805</v>
      </c>
      <c r="P9">
        <f t="shared" si="4"/>
        <v>0.99948831516666659</v>
      </c>
      <c r="Q9">
        <f t="shared" si="5"/>
        <v>0.75126124750217815</v>
      </c>
      <c r="R9" t="s">
        <v>30</v>
      </c>
    </row>
    <row r="10" spans="1:18" x14ac:dyDescent="0.35">
      <c r="A10">
        <v>9</v>
      </c>
      <c r="B10">
        <v>2352.7199999999998</v>
      </c>
      <c r="C10">
        <v>22820.3</v>
      </c>
      <c r="D10">
        <v>96.910700000000006</v>
      </c>
      <c r="E10">
        <v>2.5794000000000001</v>
      </c>
      <c r="F10">
        <f t="shared" si="0"/>
        <v>0.50989999999998759</v>
      </c>
      <c r="G10">
        <f t="shared" si="1"/>
        <v>6.5558999999999941</v>
      </c>
      <c r="H10">
        <v>6.7309000000000001</v>
      </c>
      <c r="I10">
        <v>86.713200000000001</v>
      </c>
      <c r="J10">
        <v>114.003</v>
      </c>
      <c r="K10">
        <v>167.71700000000001</v>
      </c>
      <c r="L10">
        <v>1953.7</v>
      </c>
      <c r="M10">
        <v>2160</v>
      </c>
      <c r="N10">
        <f t="shared" si="2"/>
        <v>2280.03742104</v>
      </c>
      <c r="O10">
        <f t="shared" si="3"/>
        <v>11.996519279999708</v>
      </c>
      <c r="P10">
        <f t="shared" si="4"/>
        <v>0.99940466563636365</v>
      </c>
      <c r="Q10">
        <f t="shared" si="5"/>
        <v>0.60377709896220899</v>
      </c>
      <c r="R10" t="s">
        <v>30</v>
      </c>
    </row>
    <row r="11" spans="1:18" x14ac:dyDescent="0.35">
      <c r="A11" s="5">
        <v>10</v>
      </c>
      <c r="B11" s="5">
        <v>1754.51</v>
      </c>
      <c r="C11" s="5">
        <v>23418.5</v>
      </c>
      <c r="D11" s="5">
        <v>95.848600000000005</v>
      </c>
      <c r="E11" s="5">
        <v>3.3384</v>
      </c>
      <c r="F11" s="5">
        <f t="shared" si="0"/>
        <v>0.81299999999998818</v>
      </c>
      <c r="G11" s="5">
        <f t="shared" si="1"/>
        <v>8.9444000000000017</v>
      </c>
      <c r="H11" s="5">
        <v>6.5679999999999996</v>
      </c>
      <c r="I11" s="5">
        <v>84.4876</v>
      </c>
      <c r="J11" s="5">
        <v>114.02</v>
      </c>
      <c r="K11" s="5">
        <v>161.87299999999999</v>
      </c>
      <c r="L11" s="5">
        <v>1324.3</v>
      </c>
      <c r="M11" s="5">
        <v>1664</v>
      </c>
      <c r="N11" s="5">
        <f t="shared" si="2"/>
        <v>1681.6732718600001</v>
      </c>
      <c r="O11" s="5">
        <f t="shared" si="3"/>
        <v>14.264166299999793</v>
      </c>
      <c r="P11" s="5">
        <f t="shared" si="4"/>
        <v>0.99927922252525259</v>
      </c>
      <c r="Q11" s="5">
        <f t="shared" si="5"/>
        <v>0.44532418639987931</v>
      </c>
      <c r="R11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Input_Conditions 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kamlendra11701@gmail.com</cp:lastModifiedBy>
  <dcterms:created xsi:type="dcterms:W3CDTF">2015-06-05T18:17:20Z</dcterms:created>
  <dcterms:modified xsi:type="dcterms:W3CDTF">2026-06-17T11:58:30Z</dcterms:modified>
</cp:coreProperties>
</file>