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1\"/>
    </mc:Choice>
  </mc:AlternateContent>
  <xr:revisionPtr revIDLastSave="0" documentId="13_ncr:1_{A26EB05B-1D06-4F50-907F-74916414E7B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Operating_condition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2" l="1"/>
  <c r="L41" i="2"/>
  <c r="N41" i="2"/>
  <c r="M41" i="2"/>
  <c r="J41" i="2"/>
  <c r="M40" i="2"/>
  <c r="J40" i="2"/>
  <c r="L40" i="2"/>
  <c r="N40" i="2"/>
  <c r="D40" i="2"/>
  <c r="J39" i="2"/>
  <c r="M39" i="2"/>
  <c r="D39" i="2"/>
  <c r="L39" i="2"/>
  <c r="N39" i="2"/>
  <c r="M38" i="2"/>
  <c r="J38" i="2"/>
  <c r="D38" i="2"/>
  <c r="L38" i="2"/>
  <c r="N38" i="2"/>
  <c r="N37" i="2"/>
  <c r="M37" i="2"/>
  <c r="L37" i="2"/>
  <c r="J37" i="2"/>
  <c r="D37" i="2"/>
  <c r="L36" i="2"/>
  <c r="M36" i="2"/>
  <c r="N36" i="2"/>
  <c r="J36" i="2"/>
  <c r="D36" i="2"/>
  <c r="D34" i="2"/>
  <c r="J34" i="2"/>
  <c r="L34" i="2"/>
  <c r="M34" i="2"/>
  <c r="N34" i="2"/>
  <c r="J33" i="2"/>
  <c r="L33" i="2"/>
  <c r="M33" i="2"/>
  <c r="N33" i="2"/>
  <c r="D33" i="2"/>
  <c r="L32" i="2"/>
  <c r="M32" i="2"/>
  <c r="N32" i="2"/>
  <c r="J32" i="2"/>
  <c r="D32" i="2"/>
  <c r="L31" i="2"/>
  <c r="M31" i="2"/>
  <c r="N31" i="2"/>
  <c r="J31" i="2"/>
  <c r="D31" i="2"/>
  <c r="L25" i="2"/>
  <c r="M25" i="2"/>
  <c r="N25" i="2"/>
  <c r="D25" i="2"/>
  <c r="M28" i="2"/>
  <c r="J28" i="2"/>
  <c r="D28" i="2"/>
  <c r="L28" i="2"/>
  <c r="N28" i="2"/>
  <c r="J27" i="2"/>
  <c r="L27" i="2"/>
  <c r="M27" i="2"/>
  <c r="N27" i="2"/>
  <c r="D27" i="2"/>
  <c r="L26" i="2"/>
  <c r="M26" i="2"/>
  <c r="N26" i="2"/>
  <c r="J26" i="2"/>
  <c r="D26" i="2"/>
  <c r="M17" i="2"/>
  <c r="J17" i="2"/>
  <c r="L17" i="2"/>
  <c r="N17" i="2"/>
  <c r="D17" i="2"/>
  <c r="J15" i="2"/>
  <c r="M15" i="2"/>
  <c r="D15" i="2"/>
  <c r="L15" i="2"/>
  <c r="N15" i="2"/>
  <c r="J16" i="2"/>
  <c r="M16" i="2"/>
  <c r="D16" i="2"/>
  <c r="L16" i="2"/>
  <c r="N16" i="2"/>
  <c r="J14" i="2"/>
  <c r="M14" i="2"/>
  <c r="D14" i="2"/>
  <c r="L14" i="2"/>
  <c r="N14" i="2"/>
  <c r="M13" i="2"/>
  <c r="J13" i="2"/>
  <c r="D12" i="2"/>
  <c r="D13" i="2"/>
  <c r="L13" i="2"/>
  <c r="N13" i="2"/>
  <c r="M12" i="2"/>
  <c r="J12" i="2"/>
  <c r="L12" i="2"/>
  <c r="N12" i="2"/>
  <c r="J11" i="2"/>
  <c r="M11" i="2"/>
  <c r="D11" i="2"/>
  <c r="L11" i="2"/>
  <c r="N11" i="2"/>
  <c r="J10" i="2"/>
  <c r="M10" i="2"/>
  <c r="L10" i="2"/>
  <c r="N10" i="2"/>
  <c r="D10" i="2"/>
  <c r="J18" i="2"/>
  <c r="L18" i="2"/>
  <c r="M18" i="2"/>
  <c r="N18" i="2"/>
  <c r="J23" i="2"/>
  <c r="L23" i="2"/>
  <c r="M23" i="2"/>
  <c r="N23" i="2"/>
  <c r="D22" i="2"/>
  <c r="J22" i="2"/>
  <c r="L22" i="2"/>
  <c r="M22" i="2"/>
  <c r="N22" i="2"/>
  <c r="J21" i="2"/>
  <c r="L21" i="2"/>
  <c r="M21" i="2"/>
  <c r="N21" i="2"/>
  <c r="N20" i="2"/>
  <c r="N19" i="2"/>
  <c r="M20" i="2"/>
  <c r="L20" i="2"/>
  <c r="L19" i="2"/>
  <c r="J20" i="2"/>
  <c r="M19" i="2"/>
  <c r="J19" i="2"/>
  <c r="D20" i="2"/>
  <c r="L8" i="2"/>
  <c r="M8" i="2"/>
  <c r="N8" i="2"/>
  <c r="J8" i="2"/>
  <c r="D8" i="2"/>
  <c r="L7" i="2"/>
  <c r="M7" i="2"/>
  <c r="N7" i="2"/>
  <c r="L6" i="2"/>
  <c r="J7" i="2"/>
  <c r="D7" i="2"/>
  <c r="M6" i="2"/>
  <c r="N6" i="2"/>
  <c r="J6" i="2"/>
  <c r="J5" i="2"/>
  <c r="D6" i="2"/>
  <c r="N5" i="2"/>
  <c r="M5" i="2"/>
  <c r="L5" i="2"/>
  <c r="D5" i="2"/>
</calcChain>
</file>

<file path=xl/sharedStrings.xml><?xml version="1.0" encoding="utf-8"?>
<sst xmlns="http://schemas.openxmlformats.org/spreadsheetml/2006/main" count="196" uniqueCount="34">
  <si>
    <t>Run</t>
  </si>
  <si>
    <t>Stages</t>
  </si>
  <si>
    <t>Feed Stage</t>
  </si>
  <si>
    <t>RR</t>
  </si>
  <si>
    <t>Feed Pressure (bar)</t>
  </si>
  <si>
    <t>Water top wt%</t>
  </si>
  <si>
    <t>EG top wt%</t>
  </si>
  <si>
    <t>Ethanol top wt%</t>
  </si>
  <si>
    <t>Ethanol Recovery %</t>
  </si>
  <si>
    <t>EG Recovery %</t>
  </si>
  <si>
    <t>Water Recovery %</t>
  </si>
  <si>
    <t>Condenser Duty (kW)</t>
  </si>
  <si>
    <t>Reboiler Duty (kW)</t>
  </si>
  <si>
    <t>Converged?</t>
  </si>
  <si>
    <t>Bottom Flow (kmol/s)</t>
  </si>
  <si>
    <t>Feed Flow (kg/h)</t>
  </si>
  <si>
    <t>Feed Temp (°C)</t>
  </si>
  <si>
    <t>Column Pressure (bar)</t>
  </si>
  <si>
    <t>Top Flow (kg/hr)</t>
  </si>
  <si>
    <t>Temp top (C)</t>
  </si>
  <si>
    <t>Temp bottom (C)</t>
  </si>
  <si>
    <t>V+L</t>
  </si>
  <si>
    <t>Water bottom (mix) wt%</t>
  </si>
  <si>
    <t>EG bottom (mix) wt%</t>
  </si>
  <si>
    <t>Ethanol bottom (mix) wt%</t>
  </si>
  <si>
    <t>Phase bottom</t>
  </si>
  <si>
    <t>Phase top</t>
  </si>
  <si>
    <t>L</t>
  </si>
  <si>
    <t>Bottom Flow (kg/hr)</t>
  </si>
  <si>
    <t>yes</t>
  </si>
  <si>
    <t>V</t>
  </si>
  <si>
    <t>_</t>
  </si>
  <si>
    <t>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</si>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</sst>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1" applyFont="1" applyAlignment="1">
      <alignment vertical="center" wrapText="1"/>
    </xf>
    <xf numFmtId="0" fontId="0" fillId="2" borderId="1" xfId="1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zoomScale="63" workbookViewId="0">
      <selection activeCell="E6" sqref="E6"/>
    </sheetView>
  </sheetViews>
  <sheetFormatPr defaultRowHeight="14.5" x14ac:dyDescent="0.35"/>
  <cols>
    <col min="3" max="3" width="10.7265625" customWidth="1"/>
    <col min="4" max="4" width="11.26953125" customWidth="1"/>
    <col min="5" max="5" width="10.453125" customWidth="1"/>
    <col min="6" max="6" width="10.81640625" customWidth="1"/>
    <col min="7" max="7" width="10.1796875" customWidth="1"/>
  </cols>
  <sheetData>
    <row r="1" spans="1:9" ht="43.5" x14ac:dyDescent="0.35">
      <c r="A1" s="1" t="s">
        <v>0</v>
      </c>
      <c r="B1" s="1" t="s">
        <v>3</v>
      </c>
      <c r="C1" s="1" t="s">
        <v>14</v>
      </c>
      <c r="D1" s="1" t="s">
        <v>15</v>
      </c>
      <c r="E1" s="1" t="s">
        <v>2</v>
      </c>
      <c r="F1" s="1" t="s">
        <v>1</v>
      </c>
      <c r="G1" s="1" t="s">
        <v>16</v>
      </c>
      <c r="H1" s="1" t="s">
        <v>4</v>
      </c>
      <c r="I1" s="1" t="s">
        <v>17</v>
      </c>
    </row>
    <row r="2" spans="1:9" x14ac:dyDescent="0.35">
      <c r="A2" s="2">
        <v>1</v>
      </c>
      <c r="B2" s="2">
        <v>1.5</v>
      </c>
      <c r="C2" s="2">
        <v>0.11</v>
      </c>
      <c r="D2" s="2">
        <v>21918.7</v>
      </c>
      <c r="E2" s="2">
        <v>8</v>
      </c>
      <c r="F2" s="2">
        <v>15</v>
      </c>
      <c r="G2" s="2">
        <v>179.65199999999999</v>
      </c>
      <c r="H2" s="2">
        <v>3.5</v>
      </c>
      <c r="I2" s="2">
        <v>1</v>
      </c>
    </row>
    <row r="3" spans="1:9" x14ac:dyDescent="0.35">
      <c r="A3" s="2">
        <v>2</v>
      </c>
      <c r="B3" s="2">
        <v>1.5</v>
      </c>
      <c r="C3" s="2">
        <v>0.12</v>
      </c>
      <c r="D3" s="2">
        <v>21918.7</v>
      </c>
      <c r="E3" s="2">
        <v>8</v>
      </c>
      <c r="F3" s="2">
        <v>15</v>
      </c>
      <c r="G3" s="2">
        <v>179.65199999999999</v>
      </c>
      <c r="H3" s="2">
        <v>3.5</v>
      </c>
      <c r="I3" s="2">
        <v>1</v>
      </c>
    </row>
    <row r="4" spans="1:9" x14ac:dyDescent="0.35">
      <c r="A4" s="2">
        <v>3</v>
      </c>
      <c r="B4" s="2">
        <v>1.5</v>
      </c>
      <c r="C4" s="2">
        <v>0.13</v>
      </c>
      <c r="D4" s="2">
        <v>21918.7</v>
      </c>
      <c r="E4" s="2">
        <v>8</v>
      </c>
      <c r="F4" s="2">
        <v>15</v>
      </c>
      <c r="G4" s="2">
        <v>179.65199999999999</v>
      </c>
      <c r="H4" s="2">
        <v>3.5</v>
      </c>
      <c r="I4" s="2">
        <v>1</v>
      </c>
    </row>
    <row r="5" spans="1:9" x14ac:dyDescent="0.35">
      <c r="A5" s="2">
        <v>4</v>
      </c>
      <c r="B5" s="2">
        <v>1.5</v>
      </c>
      <c r="C5" s="2">
        <v>0.1</v>
      </c>
      <c r="D5" s="2">
        <v>21918.7</v>
      </c>
      <c r="E5" s="2">
        <v>8</v>
      </c>
      <c r="F5" s="2">
        <v>15</v>
      </c>
      <c r="G5" s="2">
        <v>179.65199999999999</v>
      </c>
      <c r="H5" s="2">
        <v>3.5</v>
      </c>
      <c r="I5" s="2">
        <v>1</v>
      </c>
    </row>
    <row r="6" spans="1:9" x14ac:dyDescent="0.35">
      <c r="A6" s="3">
        <v>5</v>
      </c>
      <c r="B6" s="3">
        <v>1.5</v>
      </c>
      <c r="C6" s="3">
        <v>0.09</v>
      </c>
      <c r="D6" s="3">
        <v>21918.7</v>
      </c>
      <c r="E6" s="3">
        <v>8</v>
      </c>
      <c r="F6" s="3">
        <v>15</v>
      </c>
      <c r="G6" s="3">
        <v>179.65199999999999</v>
      </c>
      <c r="H6" s="3">
        <v>3.5</v>
      </c>
      <c r="I6" s="3">
        <v>1</v>
      </c>
    </row>
    <row r="7" spans="1:9" x14ac:dyDescent="0.35">
      <c r="A7" s="2">
        <v>6</v>
      </c>
      <c r="B7" s="2">
        <v>1.5</v>
      </c>
      <c r="C7" s="2">
        <v>0.08</v>
      </c>
      <c r="D7" s="2">
        <v>21918.7</v>
      </c>
      <c r="E7" s="2">
        <v>8</v>
      </c>
      <c r="F7" s="2">
        <v>15</v>
      </c>
      <c r="G7" s="2">
        <v>179.65199999999999</v>
      </c>
      <c r="H7" s="2">
        <v>3.5</v>
      </c>
      <c r="I7" s="2">
        <v>1</v>
      </c>
    </row>
    <row r="8" spans="1:9" x14ac:dyDescent="0.35">
      <c r="A8" s="2">
        <v>7</v>
      </c>
      <c r="B8" s="2">
        <v>1.5</v>
      </c>
      <c r="C8" s="2">
        <v>7.0000000000000007E-2</v>
      </c>
      <c r="D8" s="2">
        <v>21918.7</v>
      </c>
      <c r="E8" s="2">
        <v>8</v>
      </c>
      <c r="F8" s="2">
        <v>15</v>
      </c>
      <c r="G8" s="2">
        <v>179.65199999999999</v>
      </c>
      <c r="H8" s="2">
        <v>3.5</v>
      </c>
      <c r="I8" s="2">
        <v>1</v>
      </c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x14ac:dyDescent="0.35">
      <c r="A10">
        <v>8</v>
      </c>
      <c r="B10" s="2">
        <v>0.01</v>
      </c>
      <c r="C10" s="2">
        <v>0.09</v>
      </c>
      <c r="D10" s="2">
        <v>21918.7</v>
      </c>
      <c r="E10" s="2">
        <v>8</v>
      </c>
      <c r="F10" s="2">
        <v>15</v>
      </c>
      <c r="G10" s="2">
        <v>179.65199999999999</v>
      </c>
      <c r="H10" s="2">
        <v>3.5</v>
      </c>
      <c r="I10" s="2">
        <v>1</v>
      </c>
    </row>
    <row r="11" spans="1:9" x14ac:dyDescent="0.35">
      <c r="A11" s="2">
        <v>9</v>
      </c>
      <c r="B11" s="2">
        <v>0.02</v>
      </c>
      <c r="C11" s="2">
        <v>0.09</v>
      </c>
      <c r="D11" s="2">
        <v>21918.7</v>
      </c>
      <c r="E11" s="2">
        <v>8</v>
      </c>
      <c r="F11" s="2">
        <v>15</v>
      </c>
      <c r="G11" s="2">
        <v>179.65199999999999</v>
      </c>
      <c r="H11" s="2">
        <v>3.5</v>
      </c>
      <c r="I11" s="2">
        <v>1</v>
      </c>
    </row>
    <row r="12" spans="1:9" x14ac:dyDescent="0.35">
      <c r="A12" s="2">
        <v>10</v>
      </c>
      <c r="B12" s="2">
        <v>0.03</v>
      </c>
      <c r="C12" s="2">
        <v>0.09</v>
      </c>
      <c r="D12" s="2">
        <v>21918.7</v>
      </c>
      <c r="E12" s="2">
        <v>8</v>
      </c>
      <c r="F12" s="2">
        <v>15</v>
      </c>
      <c r="G12" s="2">
        <v>179.65199999999999</v>
      </c>
      <c r="H12" s="2">
        <v>3.5</v>
      </c>
      <c r="I12" s="2">
        <v>1</v>
      </c>
    </row>
    <row r="13" spans="1:9" x14ac:dyDescent="0.35">
      <c r="A13" s="2">
        <v>11</v>
      </c>
      <c r="B13" s="2">
        <v>0.04</v>
      </c>
      <c r="C13" s="2">
        <v>0.09</v>
      </c>
      <c r="D13" s="2">
        <v>21918.7</v>
      </c>
      <c r="E13" s="2">
        <v>8</v>
      </c>
      <c r="F13" s="2">
        <v>15</v>
      </c>
      <c r="G13" s="2">
        <v>179.65199999999999</v>
      </c>
      <c r="H13" s="2">
        <v>3.5</v>
      </c>
      <c r="I13" s="2">
        <v>1</v>
      </c>
    </row>
    <row r="14" spans="1:9" x14ac:dyDescent="0.35">
      <c r="A14" s="3">
        <v>12</v>
      </c>
      <c r="B14" s="3">
        <v>0.06</v>
      </c>
      <c r="C14" s="3">
        <v>0.09</v>
      </c>
      <c r="D14" s="3">
        <v>21918.7</v>
      </c>
      <c r="E14" s="3">
        <v>8</v>
      </c>
      <c r="F14" s="3">
        <v>15</v>
      </c>
      <c r="G14" s="3">
        <v>179.65199999999999</v>
      </c>
      <c r="H14" s="3">
        <v>3.5</v>
      </c>
      <c r="I14" s="3">
        <v>1</v>
      </c>
    </row>
    <row r="15" spans="1:9" x14ac:dyDescent="0.35">
      <c r="A15" s="2">
        <v>13</v>
      </c>
      <c r="B15" s="2">
        <v>7.0000000000000007E-2</v>
      </c>
      <c r="C15" s="2">
        <v>0.09</v>
      </c>
      <c r="D15" s="2">
        <v>21918.7</v>
      </c>
      <c r="E15" s="2">
        <v>8</v>
      </c>
      <c r="F15" s="2">
        <v>15</v>
      </c>
      <c r="G15" s="2">
        <v>179.65199999999999</v>
      </c>
      <c r="H15" s="2">
        <v>3.5</v>
      </c>
      <c r="I15" s="2">
        <v>1</v>
      </c>
    </row>
    <row r="16" spans="1:9" x14ac:dyDescent="0.35">
      <c r="A16" s="2">
        <v>14</v>
      </c>
      <c r="B16" s="2">
        <v>0.08</v>
      </c>
      <c r="C16" s="2">
        <v>0.09</v>
      </c>
      <c r="D16" s="2">
        <v>21918.7</v>
      </c>
      <c r="E16" s="2">
        <v>8</v>
      </c>
      <c r="F16" s="2">
        <v>15</v>
      </c>
      <c r="G16" s="2">
        <v>179.65199999999999</v>
      </c>
      <c r="H16" s="2">
        <v>3.5</v>
      </c>
      <c r="I16" s="2">
        <v>1</v>
      </c>
    </row>
    <row r="17" spans="1:9" x14ac:dyDescent="0.35">
      <c r="A17" s="2">
        <v>15</v>
      </c>
      <c r="B17" s="2">
        <v>0.09</v>
      </c>
      <c r="C17" s="2">
        <v>0.09</v>
      </c>
      <c r="D17" s="2">
        <v>21918.7</v>
      </c>
      <c r="E17" s="2">
        <v>8</v>
      </c>
      <c r="F17" s="2">
        <v>15</v>
      </c>
      <c r="G17" s="2">
        <v>179.65199999999999</v>
      </c>
      <c r="H17" s="2">
        <v>3.5</v>
      </c>
      <c r="I17" s="2">
        <v>1</v>
      </c>
    </row>
    <row r="18" spans="1:9" x14ac:dyDescent="0.35">
      <c r="A18" s="2">
        <v>16</v>
      </c>
      <c r="B18">
        <v>0.9</v>
      </c>
      <c r="C18">
        <v>0.09</v>
      </c>
      <c r="D18">
        <v>21918.7</v>
      </c>
      <c r="E18">
        <v>8</v>
      </c>
      <c r="F18">
        <v>15</v>
      </c>
      <c r="G18">
        <v>179.65199999999999</v>
      </c>
      <c r="H18">
        <v>3.5</v>
      </c>
      <c r="I18">
        <v>1</v>
      </c>
    </row>
    <row r="19" spans="1:9" x14ac:dyDescent="0.35">
      <c r="A19" s="2">
        <v>17</v>
      </c>
      <c r="B19" s="2">
        <v>1</v>
      </c>
      <c r="C19" s="2">
        <v>0.09</v>
      </c>
      <c r="D19" s="2">
        <v>21918.7</v>
      </c>
      <c r="E19" s="2">
        <v>8</v>
      </c>
      <c r="F19" s="2">
        <v>15</v>
      </c>
      <c r="G19" s="2">
        <v>179.65199999999999</v>
      </c>
      <c r="H19" s="2">
        <v>3.5</v>
      </c>
      <c r="I19" s="2">
        <v>1</v>
      </c>
    </row>
    <row r="20" spans="1:9" x14ac:dyDescent="0.35">
      <c r="A20" s="2">
        <v>18</v>
      </c>
      <c r="B20" s="2">
        <v>1.25</v>
      </c>
      <c r="C20" s="2">
        <v>0.09</v>
      </c>
      <c r="D20" s="2">
        <v>21918.7</v>
      </c>
      <c r="E20" s="2">
        <v>8</v>
      </c>
      <c r="F20" s="2">
        <v>15</v>
      </c>
      <c r="G20" s="2">
        <v>179.65199999999999</v>
      </c>
      <c r="H20" s="2">
        <v>3.5</v>
      </c>
      <c r="I20" s="2">
        <v>1</v>
      </c>
    </row>
    <row r="21" spans="1:9" x14ac:dyDescent="0.35">
      <c r="A21" s="2">
        <v>19</v>
      </c>
      <c r="B21" s="2">
        <v>1.5</v>
      </c>
      <c r="C21" s="2">
        <v>0.09</v>
      </c>
      <c r="D21" s="2">
        <v>21918.7</v>
      </c>
      <c r="E21" s="2">
        <v>8</v>
      </c>
      <c r="F21" s="2">
        <v>15</v>
      </c>
      <c r="G21" s="2">
        <v>179.65199999999999</v>
      </c>
      <c r="H21" s="2">
        <v>3.5</v>
      </c>
      <c r="I21" s="2">
        <v>1</v>
      </c>
    </row>
    <row r="22" spans="1:9" x14ac:dyDescent="0.35">
      <c r="A22" s="2">
        <v>20</v>
      </c>
      <c r="B22" s="2">
        <v>1.75</v>
      </c>
      <c r="C22" s="2">
        <v>0.09</v>
      </c>
      <c r="D22" s="2">
        <v>21918.7</v>
      </c>
      <c r="E22" s="2">
        <v>8</v>
      </c>
      <c r="F22" s="2">
        <v>15</v>
      </c>
      <c r="G22" s="2">
        <v>179.65199999999999</v>
      </c>
      <c r="H22" s="2">
        <v>3.5</v>
      </c>
      <c r="I22" s="2">
        <v>1</v>
      </c>
    </row>
    <row r="23" spans="1:9" x14ac:dyDescent="0.35">
      <c r="A23" s="2">
        <v>21</v>
      </c>
      <c r="B23" s="2">
        <v>2</v>
      </c>
      <c r="C23" s="2">
        <v>0.09</v>
      </c>
      <c r="D23" s="2">
        <v>21918.7</v>
      </c>
      <c r="E23" s="2">
        <v>8</v>
      </c>
      <c r="F23" s="2">
        <v>15</v>
      </c>
      <c r="G23" s="2">
        <v>179.65199999999999</v>
      </c>
      <c r="H23" s="2">
        <v>3.5</v>
      </c>
      <c r="I23" s="2">
        <v>1</v>
      </c>
    </row>
    <row r="24" spans="1:9" x14ac:dyDescent="0.3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5">
      <c r="A25" s="2">
        <v>22</v>
      </c>
      <c r="B25" s="2">
        <v>0.06</v>
      </c>
      <c r="C25" s="2">
        <v>0.09</v>
      </c>
      <c r="D25" s="2">
        <v>21918.7</v>
      </c>
      <c r="E25" s="2">
        <v>2</v>
      </c>
      <c r="F25" s="2">
        <v>15</v>
      </c>
      <c r="G25" s="2">
        <v>179.65199999999999</v>
      </c>
      <c r="H25" s="2">
        <v>3.5</v>
      </c>
      <c r="I25" s="2">
        <v>1</v>
      </c>
    </row>
    <row r="26" spans="1:9" x14ac:dyDescent="0.35">
      <c r="A26" s="2">
        <v>23</v>
      </c>
      <c r="B26" s="2">
        <v>0.06</v>
      </c>
      <c r="C26" s="2">
        <v>0.09</v>
      </c>
      <c r="D26" s="2">
        <v>21918.7</v>
      </c>
      <c r="E26" s="2">
        <v>9</v>
      </c>
      <c r="F26" s="2">
        <v>15</v>
      </c>
      <c r="G26" s="2">
        <v>179.65199999999999</v>
      </c>
      <c r="H26" s="2">
        <v>3.5</v>
      </c>
      <c r="I26" s="2">
        <v>1</v>
      </c>
    </row>
    <row r="27" spans="1:9" x14ac:dyDescent="0.35">
      <c r="A27" s="2">
        <v>24</v>
      </c>
      <c r="B27" s="2">
        <v>0.06</v>
      </c>
      <c r="C27" s="2">
        <v>0.09</v>
      </c>
      <c r="D27" s="2">
        <v>21918.7</v>
      </c>
      <c r="E27" s="2">
        <v>10</v>
      </c>
      <c r="F27" s="2">
        <v>15</v>
      </c>
      <c r="G27" s="2">
        <v>179.65199999999999</v>
      </c>
      <c r="H27" s="2">
        <v>3.5</v>
      </c>
      <c r="I27" s="2">
        <v>1</v>
      </c>
    </row>
    <row r="28" spans="1:9" x14ac:dyDescent="0.35">
      <c r="A28" s="2">
        <v>25</v>
      </c>
      <c r="B28" s="2">
        <v>0.06</v>
      </c>
      <c r="C28" s="2">
        <v>0.09</v>
      </c>
      <c r="D28" s="2">
        <v>21918.7</v>
      </c>
      <c r="E28" s="2">
        <v>11</v>
      </c>
      <c r="F28" s="2">
        <v>15</v>
      </c>
      <c r="G28" s="2">
        <v>179.65199999999999</v>
      </c>
      <c r="H28" s="2">
        <v>3.5</v>
      </c>
      <c r="I28" s="2">
        <v>1</v>
      </c>
    </row>
    <row r="29" spans="1:9" x14ac:dyDescent="0.35">
      <c r="A29" s="2">
        <v>26</v>
      </c>
      <c r="B29" s="2">
        <v>0.06</v>
      </c>
      <c r="C29" s="2">
        <v>0.09</v>
      </c>
      <c r="D29" s="2">
        <v>21918.7</v>
      </c>
      <c r="E29" s="2">
        <v>14</v>
      </c>
      <c r="F29" s="2">
        <v>15</v>
      </c>
      <c r="G29" s="2">
        <v>179.65199999999999</v>
      </c>
      <c r="H29" s="2">
        <v>3.5</v>
      </c>
      <c r="I29" s="2">
        <v>1</v>
      </c>
    </row>
    <row r="30" spans="1:9" x14ac:dyDescent="0.35">
      <c r="B30" s="2"/>
      <c r="C30" s="2"/>
      <c r="D30" s="2"/>
      <c r="E30" s="2"/>
      <c r="F30" s="2"/>
      <c r="G30" s="2"/>
      <c r="H30" s="2"/>
      <c r="I30" s="2"/>
    </row>
    <row r="31" spans="1:9" x14ac:dyDescent="0.35">
      <c r="A31" s="2">
        <v>27</v>
      </c>
      <c r="B31" s="2">
        <v>0.06</v>
      </c>
      <c r="C31" s="2">
        <v>0.09</v>
      </c>
      <c r="D31" s="2">
        <v>21918.7</v>
      </c>
      <c r="E31" s="2">
        <v>4</v>
      </c>
      <c r="F31" s="2">
        <v>8</v>
      </c>
      <c r="G31" s="2">
        <v>179.65199999999999</v>
      </c>
      <c r="H31" s="2">
        <v>3.5</v>
      </c>
      <c r="I31" s="2">
        <v>1</v>
      </c>
    </row>
    <row r="32" spans="1:9" x14ac:dyDescent="0.35">
      <c r="A32" s="2">
        <v>28</v>
      </c>
      <c r="B32" s="2">
        <v>0.06</v>
      </c>
      <c r="C32" s="2">
        <v>0.09</v>
      </c>
      <c r="D32" s="2">
        <v>21918.7</v>
      </c>
      <c r="E32" s="2">
        <v>5</v>
      </c>
      <c r="F32" s="2">
        <v>10</v>
      </c>
      <c r="G32" s="2">
        <v>179.65199999999999</v>
      </c>
      <c r="H32" s="2">
        <v>3.5</v>
      </c>
      <c r="I32" s="2">
        <v>1</v>
      </c>
    </row>
    <row r="33" spans="1:9" x14ac:dyDescent="0.35">
      <c r="A33" s="2">
        <v>29</v>
      </c>
      <c r="B33" s="2">
        <v>0.06</v>
      </c>
      <c r="C33" s="2">
        <v>0.09</v>
      </c>
      <c r="D33" s="2">
        <v>21918.7</v>
      </c>
      <c r="E33" s="2">
        <v>6</v>
      </c>
      <c r="F33" s="2">
        <v>12</v>
      </c>
      <c r="G33" s="2">
        <v>179.65199999999999</v>
      </c>
      <c r="H33" s="2">
        <v>3.5</v>
      </c>
      <c r="I33" s="2">
        <v>1</v>
      </c>
    </row>
    <row r="34" spans="1:9" x14ac:dyDescent="0.35">
      <c r="A34" s="2">
        <v>30</v>
      </c>
      <c r="B34" s="2">
        <v>0.06</v>
      </c>
      <c r="C34" s="2">
        <v>0.09</v>
      </c>
      <c r="D34" s="2">
        <v>21918.7</v>
      </c>
      <c r="E34" s="2">
        <v>8</v>
      </c>
      <c r="F34" s="2">
        <v>16</v>
      </c>
      <c r="G34" s="2">
        <v>179.65199999999999</v>
      </c>
      <c r="H34" s="2">
        <v>3.5</v>
      </c>
      <c r="I34" s="2">
        <v>1</v>
      </c>
    </row>
    <row r="35" spans="1:9" x14ac:dyDescent="0.35">
      <c r="B35" s="2"/>
      <c r="C35" s="2"/>
      <c r="D35" s="2"/>
      <c r="E35" s="2"/>
      <c r="F35" s="2"/>
      <c r="G35" s="2"/>
      <c r="H35" s="2"/>
    </row>
    <row r="36" spans="1:9" x14ac:dyDescent="0.35">
      <c r="A36" s="2">
        <v>31</v>
      </c>
      <c r="B36" s="2">
        <v>0.06</v>
      </c>
      <c r="C36" s="2">
        <v>0.09</v>
      </c>
      <c r="D36" s="2">
        <v>21918.7</v>
      </c>
      <c r="E36" s="2">
        <v>8</v>
      </c>
      <c r="F36" s="2">
        <v>15</v>
      </c>
      <c r="G36" s="2">
        <v>179.65199999999999</v>
      </c>
      <c r="H36" s="2">
        <v>3.5</v>
      </c>
      <c r="I36" s="2">
        <v>0.8</v>
      </c>
    </row>
    <row r="37" spans="1:9" x14ac:dyDescent="0.35">
      <c r="A37" s="2">
        <v>32</v>
      </c>
      <c r="B37" s="2">
        <v>0.06</v>
      </c>
      <c r="C37" s="2">
        <v>0.09</v>
      </c>
      <c r="D37" s="2">
        <v>21918.7</v>
      </c>
      <c r="E37" s="2">
        <v>8</v>
      </c>
      <c r="F37" s="2">
        <v>15</v>
      </c>
      <c r="G37" s="2">
        <v>179.65199999999999</v>
      </c>
      <c r="H37" s="2">
        <v>3.5</v>
      </c>
      <c r="I37" s="2">
        <v>1</v>
      </c>
    </row>
    <row r="38" spans="1:9" x14ac:dyDescent="0.35">
      <c r="A38" s="2">
        <v>33</v>
      </c>
      <c r="B38" s="2">
        <v>0.06</v>
      </c>
      <c r="C38" s="2">
        <v>0.09</v>
      </c>
      <c r="D38" s="2">
        <v>21918.7</v>
      </c>
      <c r="E38" s="2">
        <v>8</v>
      </c>
      <c r="F38" s="2">
        <v>15</v>
      </c>
      <c r="G38" s="2">
        <v>179.65199999999999</v>
      </c>
      <c r="H38" s="2">
        <v>3.5</v>
      </c>
      <c r="I38" s="2">
        <v>1.2</v>
      </c>
    </row>
    <row r="39" spans="1:9" x14ac:dyDescent="0.35">
      <c r="A39" s="2">
        <v>34</v>
      </c>
      <c r="B39" s="2">
        <v>0.06</v>
      </c>
      <c r="C39" s="2">
        <v>0.09</v>
      </c>
      <c r="D39" s="2">
        <v>21918.7</v>
      </c>
      <c r="E39" s="2">
        <v>8</v>
      </c>
      <c r="F39" s="2">
        <v>15</v>
      </c>
      <c r="G39" s="2">
        <v>179.65199999999999</v>
      </c>
      <c r="H39" s="2">
        <v>3.5</v>
      </c>
      <c r="I39" s="2">
        <v>2</v>
      </c>
    </row>
    <row r="40" spans="1:9" x14ac:dyDescent="0.35">
      <c r="A40" s="2">
        <v>35</v>
      </c>
      <c r="B40" s="2">
        <v>0.06</v>
      </c>
      <c r="C40" s="2">
        <v>0.09</v>
      </c>
      <c r="D40" s="2">
        <v>21918.7</v>
      </c>
      <c r="E40" s="2">
        <v>8</v>
      </c>
      <c r="F40" s="2">
        <v>15</v>
      </c>
      <c r="G40" s="2">
        <v>179.65199999999999</v>
      </c>
      <c r="H40" s="2">
        <v>3.5</v>
      </c>
      <c r="I40" s="2">
        <v>3</v>
      </c>
    </row>
    <row r="41" spans="1:9" x14ac:dyDescent="0.35">
      <c r="A41" s="2">
        <v>36</v>
      </c>
      <c r="B41" s="2">
        <v>0.06</v>
      </c>
      <c r="C41" s="2">
        <v>0.09</v>
      </c>
      <c r="D41" s="2">
        <v>21918.7</v>
      </c>
      <c r="E41" s="2">
        <v>8</v>
      </c>
      <c r="F41" s="2">
        <v>15</v>
      </c>
      <c r="G41" s="2">
        <v>179.65199999999999</v>
      </c>
      <c r="H41" s="2">
        <v>3.5</v>
      </c>
      <c r="I41" s="2"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4E02A-EB2E-4D25-82AC-578AB660FDC7}">
  <dimension ref="A1:S41"/>
  <sheetViews>
    <sheetView zoomScale="52" workbookViewId="0">
      <selection activeCell="S42" sqref="S42"/>
    </sheetView>
  </sheetViews>
  <sheetFormatPr defaultRowHeight="14.5" x14ac:dyDescent="0.35"/>
  <cols>
    <col min="2" max="2" width="9.6328125" customWidth="1"/>
    <col min="7" max="7" width="10.7265625" customWidth="1"/>
    <col min="8" max="8" width="10.1796875" customWidth="1"/>
    <col min="9" max="9" width="9.81640625" customWidth="1"/>
    <col min="10" max="10" width="10" customWidth="1"/>
    <col min="11" max="11" width="10.1796875" customWidth="1"/>
  </cols>
  <sheetData>
    <row r="1" spans="1:19" ht="43.5" x14ac:dyDescent="0.35">
      <c r="A1" s="1" t="s">
        <v>0</v>
      </c>
      <c r="B1" s="1" t="s">
        <v>18</v>
      </c>
      <c r="C1" s="1" t="s">
        <v>5</v>
      </c>
      <c r="D1" s="1" t="s">
        <v>6</v>
      </c>
      <c r="E1" s="1" t="s">
        <v>7</v>
      </c>
      <c r="F1" s="1" t="s">
        <v>19</v>
      </c>
      <c r="G1" s="1" t="s">
        <v>28</v>
      </c>
      <c r="H1" s="1" t="s">
        <v>22</v>
      </c>
      <c r="I1" s="1" t="s">
        <v>23</v>
      </c>
      <c r="J1" s="1" t="s">
        <v>24</v>
      </c>
      <c r="K1" s="1" t="s">
        <v>20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25</v>
      </c>
      <c r="S1" s="1" t="s">
        <v>26</v>
      </c>
    </row>
    <row r="2" spans="1:19" x14ac:dyDescent="0.35">
      <c r="A2">
        <v>1</v>
      </c>
      <c r="B2" t="s">
        <v>31</v>
      </c>
      <c r="C2" t="s">
        <v>31</v>
      </c>
      <c r="D2" t="s">
        <v>31</v>
      </c>
      <c r="E2" t="s">
        <v>31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32</v>
      </c>
      <c r="R2" t="s">
        <v>31</v>
      </c>
      <c r="S2" t="s">
        <v>31</v>
      </c>
    </row>
    <row r="3" spans="1:19" x14ac:dyDescent="0.35">
      <c r="A3">
        <v>2</v>
      </c>
      <c r="B3" t="s">
        <v>31</v>
      </c>
      <c r="C3" t="s">
        <v>31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32</v>
      </c>
      <c r="R3" t="s">
        <v>31</v>
      </c>
      <c r="S3" t="s">
        <v>31</v>
      </c>
    </row>
    <row r="4" spans="1:19" x14ac:dyDescent="0.35">
      <c r="A4">
        <v>3</v>
      </c>
      <c r="B4" t="s">
        <v>31</v>
      </c>
      <c r="C4" t="s">
        <v>31</v>
      </c>
      <c r="D4" t="s">
        <v>31</v>
      </c>
      <c r="E4" t="s">
        <v>31</v>
      </c>
      <c r="F4" t="s">
        <v>31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32</v>
      </c>
      <c r="R4" t="s">
        <v>31</v>
      </c>
      <c r="S4" t="s">
        <v>31</v>
      </c>
    </row>
    <row r="5" spans="1:19" x14ac:dyDescent="0.35">
      <c r="A5">
        <v>4</v>
      </c>
      <c r="B5">
        <v>1386.77</v>
      </c>
      <c r="C5">
        <v>57.154000000000003</v>
      </c>
      <c r="D5">
        <f>100-(C5+E5)</f>
        <v>1.0000000000047748E-3</v>
      </c>
      <c r="E5">
        <v>42.844999999999999</v>
      </c>
      <c r="F5">
        <v>82.54</v>
      </c>
      <c r="G5">
        <v>20531.900000000001</v>
      </c>
      <c r="H5">
        <v>3.61</v>
      </c>
      <c r="I5">
        <v>96.388999999999996</v>
      </c>
      <c r="J5">
        <f>100-(I5+H5)</f>
        <v>1.0000000000047748E-3</v>
      </c>
      <c r="K5">
        <v>178.32</v>
      </c>
      <c r="L5">
        <f>(B5*E5)/(21918.7*2.711)</f>
        <v>0.99990853409545855</v>
      </c>
      <c r="M5">
        <f>(G5*I5)/(21918.7*90.291)</f>
        <v>0.99999392004697052</v>
      </c>
      <c r="N5">
        <f>(B5*C5)/(21918.7*6.998)</f>
        <v>0.5167284074452313</v>
      </c>
      <c r="O5">
        <v>1604</v>
      </c>
      <c r="P5">
        <v>1424.3</v>
      </c>
      <c r="Q5" t="s">
        <v>29</v>
      </c>
      <c r="R5" t="s">
        <v>21</v>
      </c>
      <c r="S5" t="s">
        <v>27</v>
      </c>
    </row>
    <row r="6" spans="1:19" x14ac:dyDescent="0.35">
      <c r="A6" s="4">
        <v>5</v>
      </c>
      <c r="B6" s="4">
        <v>2035.34</v>
      </c>
      <c r="C6" s="4">
        <v>70.805999999999997</v>
      </c>
      <c r="D6" s="4">
        <f>100-(C6+E6)</f>
        <v>1.0000000000047748E-3</v>
      </c>
      <c r="E6" s="4">
        <v>29.193000000000001</v>
      </c>
      <c r="F6" s="4">
        <v>84.81</v>
      </c>
      <c r="G6" s="4">
        <v>19883.400000000001</v>
      </c>
      <c r="H6" s="4">
        <v>0.46600000000000003</v>
      </c>
      <c r="I6" s="4">
        <v>99.533000000000001</v>
      </c>
      <c r="J6" s="4">
        <f>100-(I6+H6)</f>
        <v>1.0000000000047748E-3</v>
      </c>
      <c r="K6" s="4">
        <v>246.142</v>
      </c>
      <c r="L6" s="4">
        <f>(B6*E6)/(21918.7*2.711)</f>
        <v>0.9999341135162414</v>
      </c>
      <c r="M6" s="4">
        <f>(G6*I6)/(21918.7*90.291)</f>
        <v>0.99999651880421558</v>
      </c>
      <c r="N6" s="4">
        <f>(B6*C6)/(21918.7*6.998)</f>
        <v>0.93954654060896003</v>
      </c>
      <c r="O6" s="4">
        <v>2636</v>
      </c>
      <c r="P6" s="4">
        <v>3654.1</v>
      </c>
      <c r="Q6" s="4" t="s">
        <v>29</v>
      </c>
      <c r="R6" s="4" t="s">
        <v>30</v>
      </c>
      <c r="S6" s="4" t="s">
        <v>27</v>
      </c>
    </row>
    <row r="7" spans="1:19" x14ac:dyDescent="0.35">
      <c r="A7">
        <v>6</v>
      </c>
      <c r="B7">
        <v>4043.16</v>
      </c>
      <c r="C7">
        <v>37.93</v>
      </c>
      <c r="D7">
        <f>100-(C7+E7)</f>
        <v>47.374000000000002</v>
      </c>
      <c r="E7">
        <v>14.696</v>
      </c>
      <c r="F7">
        <v>96.75</v>
      </c>
      <c r="G7">
        <v>17875.5</v>
      </c>
      <c r="H7">
        <v>0</v>
      </c>
      <c r="I7">
        <v>100</v>
      </c>
      <c r="J7">
        <f>100-(I7+H7)</f>
        <v>0</v>
      </c>
      <c r="K7">
        <v>265.005</v>
      </c>
      <c r="L7">
        <f>(B7*E7)/(21918.7*2.711)</f>
        <v>0.99994418965090148</v>
      </c>
      <c r="M7">
        <f>(G7*I7)/(21918.7*90.291)</f>
        <v>0.90323122499300956</v>
      </c>
      <c r="N7">
        <f>(B7*C7)/(21918.7*6.998)</f>
        <v>0.99980439158628231</v>
      </c>
      <c r="O7">
        <v>4709</v>
      </c>
      <c r="P7">
        <v>5810.3</v>
      </c>
      <c r="Q7" t="s">
        <v>29</v>
      </c>
      <c r="R7" t="s">
        <v>30</v>
      </c>
      <c r="S7" t="s">
        <v>27</v>
      </c>
    </row>
    <row r="8" spans="1:19" x14ac:dyDescent="0.35">
      <c r="A8">
        <v>7</v>
      </c>
      <c r="B8">
        <v>6277.6</v>
      </c>
      <c r="C8">
        <v>24.43</v>
      </c>
      <c r="D8">
        <f>100-(C8+E8)</f>
        <v>66.099999999999994</v>
      </c>
      <c r="E8">
        <v>9.4700000000000006</v>
      </c>
      <c r="F8">
        <v>106.09099999999999</v>
      </c>
      <c r="G8">
        <v>15641.1</v>
      </c>
      <c r="H8">
        <v>0</v>
      </c>
      <c r="I8">
        <v>100</v>
      </c>
      <c r="J8">
        <f>100-(I8+H8)</f>
        <v>0</v>
      </c>
      <c r="K8">
        <v>265.005</v>
      </c>
      <c r="L8">
        <f>(B8*E8)/(21918.7*2.711)</f>
        <v>1.0004590300828964</v>
      </c>
      <c r="M8">
        <f>(G8*I8)/(21918.7*90.291)</f>
        <v>0.79032921670656264</v>
      </c>
      <c r="N8">
        <f>(B8*C8)/(21918.7*6.998)</f>
        <v>0.99983509300216566</v>
      </c>
      <c r="O8">
        <v>6595</v>
      </c>
      <c r="P8">
        <v>7400</v>
      </c>
      <c r="Q8" t="s">
        <v>29</v>
      </c>
      <c r="R8" t="s">
        <v>30</v>
      </c>
      <c r="S8" t="s">
        <v>27</v>
      </c>
    </row>
    <row r="10" spans="1:19" x14ac:dyDescent="0.35">
      <c r="A10">
        <v>8</v>
      </c>
      <c r="B10">
        <v>2091.0700000000002</v>
      </c>
      <c r="C10">
        <v>67.828999999999994</v>
      </c>
      <c r="D10">
        <f>100-(C10+E10)</f>
        <v>3.7610000000000099</v>
      </c>
      <c r="E10">
        <v>28.41</v>
      </c>
      <c r="F10">
        <v>85.35</v>
      </c>
      <c r="G10">
        <v>19827.599999999999</v>
      </c>
      <c r="H10">
        <v>0.58199999999999996</v>
      </c>
      <c r="I10">
        <v>99.417000000000002</v>
      </c>
      <c r="J10">
        <f t="shared" ref="J10:J23" si="0">100-(I10+H10)</f>
        <v>1.0000000000047748E-3</v>
      </c>
      <c r="K10">
        <v>241.71899999999999</v>
      </c>
      <c r="L10">
        <f t="shared" ref="L10:L23" si="1">(B10*E10)/(21918.7*2.711)</f>
        <v>0.99975939723880569</v>
      </c>
      <c r="M10">
        <f t="shared" ref="M10:M23" si="2">(G10*I10)/(21918.7*90.291)</f>
        <v>0.99602799957011556</v>
      </c>
      <c r="N10">
        <f t="shared" ref="N10:N23" si="3">(B10*C10)/(21918.7*6.998)</f>
        <v>0.92468807098728545</v>
      </c>
      <c r="O10">
        <v>1136</v>
      </c>
      <c r="P10">
        <v>2061</v>
      </c>
      <c r="Q10" t="s">
        <v>29</v>
      </c>
      <c r="R10" t="s">
        <v>30</v>
      </c>
      <c r="S10" t="s">
        <v>27</v>
      </c>
    </row>
    <row r="11" spans="1:19" x14ac:dyDescent="0.35">
      <c r="A11">
        <v>9</v>
      </c>
      <c r="B11">
        <v>2077.64</v>
      </c>
      <c r="C11">
        <v>68.53</v>
      </c>
      <c r="D11">
        <f>100-(C11+E11)</f>
        <v>2.8709999999999951</v>
      </c>
      <c r="E11">
        <v>28.599</v>
      </c>
      <c r="F11">
        <v>85.22</v>
      </c>
      <c r="G11">
        <v>19841.099999999999</v>
      </c>
      <c r="H11">
        <v>0.55400000000000005</v>
      </c>
      <c r="I11">
        <v>99.444999999999993</v>
      </c>
      <c r="J11">
        <f t="shared" si="0"/>
        <v>1.0000000000047748E-3</v>
      </c>
      <c r="K11">
        <v>242.773</v>
      </c>
      <c r="L11">
        <f t="shared" si="1"/>
        <v>0.99994666349897432</v>
      </c>
      <c r="M11">
        <f t="shared" si="2"/>
        <v>0.99698687853966261</v>
      </c>
      <c r="N11">
        <f t="shared" si="3"/>
        <v>0.92824431726225654</v>
      </c>
      <c r="O11">
        <v>1140</v>
      </c>
      <c r="P11">
        <v>2087.1</v>
      </c>
      <c r="Q11" t="s">
        <v>29</v>
      </c>
      <c r="R11" t="s">
        <v>30</v>
      </c>
      <c r="S11" t="s">
        <v>27</v>
      </c>
    </row>
    <row r="12" spans="1:19" x14ac:dyDescent="0.35">
      <c r="A12">
        <v>10</v>
      </c>
      <c r="B12">
        <v>2065.9899999999998</v>
      </c>
      <c r="C12">
        <v>69.14</v>
      </c>
      <c r="D12">
        <f t="shared" ref="D12:D17" si="4">100-(C12+E12)</f>
        <v>2.0999999999999943</v>
      </c>
      <c r="E12">
        <v>28.76</v>
      </c>
      <c r="F12">
        <v>85.11</v>
      </c>
      <c r="G12">
        <v>19852.7</v>
      </c>
      <c r="H12">
        <v>0.52900000000000003</v>
      </c>
      <c r="I12">
        <v>99.47</v>
      </c>
      <c r="J12">
        <f t="shared" si="0"/>
        <v>1.0000000000047748E-3</v>
      </c>
      <c r="K12">
        <v>243.69399999999999</v>
      </c>
      <c r="L12">
        <f t="shared" si="1"/>
        <v>0.99993734096238684</v>
      </c>
      <c r="M12">
        <f t="shared" si="2"/>
        <v>0.99782054623112648</v>
      </c>
      <c r="N12">
        <f t="shared" si="3"/>
        <v>0.93125551906878989</v>
      </c>
      <c r="O12">
        <v>1143</v>
      </c>
      <c r="P12">
        <v>2109</v>
      </c>
      <c r="Q12" t="s">
        <v>29</v>
      </c>
      <c r="R12" t="s">
        <v>30</v>
      </c>
      <c r="S12" t="s">
        <v>27</v>
      </c>
    </row>
    <row r="13" spans="1:19" x14ac:dyDescent="0.35">
      <c r="A13">
        <v>11</v>
      </c>
      <c r="B13">
        <v>2056.29</v>
      </c>
      <c r="C13">
        <v>69.67</v>
      </c>
      <c r="D13">
        <f t="shared" si="4"/>
        <v>1.4339999999999975</v>
      </c>
      <c r="E13">
        <v>28.896000000000001</v>
      </c>
      <c r="F13">
        <v>85.02</v>
      </c>
      <c r="G13">
        <v>19862.400000000001</v>
      </c>
      <c r="H13">
        <v>0.50900000000000001</v>
      </c>
      <c r="I13">
        <v>99.49</v>
      </c>
      <c r="J13">
        <f t="shared" si="0"/>
        <v>1.0000000000047748E-3</v>
      </c>
      <c r="K13">
        <v>244.464</v>
      </c>
      <c r="L13">
        <f t="shared" si="1"/>
        <v>0.99994884250474614</v>
      </c>
      <c r="M13">
        <f t="shared" si="2"/>
        <v>0.9985088053423018</v>
      </c>
      <c r="N13">
        <f t="shared" si="3"/>
        <v>0.93398831603937371</v>
      </c>
      <c r="O13">
        <v>1145</v>
      </c>
      <c r="P13">
        <v>2128</v>
      </c>
      <c r="Q13" t="s">
        <v>29</v>
      </c>
      <c r="R13" t="s">
        <v>30</v>
      </c>
      <c r="S13" t="s">
        <v>27</v>
      </c>
    </row>
    <row r="14" spans="1:19" x14ac:dyDescent="0.35">
      <c r="A14" s="4">
        <v>12</v>
      </c>
      <c r="B14" s="4">
        <v>2042.99</v>
      </c>
      <c r="C14" s="4">
        <v>70.38</v>
      </c>
      <c r="D14" s="4">
        <f t="shared" si="4"/>
        <v>0.54000000000000625</v>
      </c>
      <c r="E14" s="4">
        <v>29.08</v>
      </c>
      <c r="F14" s="4">
        <v>84.89</v>
      </c>
      <c r="G14" s="4">
        <v>19875.7</v>
      </c>
      <c r="H14" s="4">
        <v>0.48199999999999998</v>
      </c>
      <c r="I14" s="4">
        <v>99.516999999999996</v>
      </c>
      <c r="J14" s="4">
        <f t="shared" si="0"/>
        <v>1.0000000000047748E-3</v>
      </c>
      <c r="K14" s="4">
        <v>245.52699999999999</v>
      </c>
      <c r="L14" s="4">
        <f t="shared" si="1"/>
        <v>0.99980736801384829</v>
      </c>
      <c r="M14" s="4">
        <f t="shared" si="2"/>
        <v>0.99944857454541425</v>
      </c>
      <c r="N14" s="4">
        <f t="shared" si="3"/>
        <v>0.93740393591708282</v>
      </c>
      <c r="O14" s="4">
        <v>1149</v>
      </c>
      <c r="P14" s="4">
        <v>2153</v>
      </c>
      <c r="Q14" s="4" t="s">
        <v>29</v>
      </c>
      <c r="R14" s="4" t="s">
        <v>30</v>
      </c>
      <c r="S14" s="4" t="s">
        <v>27</v>
      </c>
    </row>
    <row r="15" spans="1:19" x14ac:dyDescent="0.35">
      <c r="A15">
        <v>13</v>
      </c>
      <c r="B15">
        <v>2039.15</v>
      </c>
      <c r="C15">
        <v>70.59</v>
      </c>
      <c r="D15">
        <f t="shared" si="4"/>
        <v>0.26999999999999602</v>
      </c>
      <c r="E15">
        <v>29.14</v>
      </c>
      <c r="F15">
        <v>84.85</v>
      </c>
      <c r="G15">
        <v>19879</v>
      </c>
      <c r="H15">
        <v>0.47399999999999998</v>
      </c>
      <c r="I15">
        <v>99.525000000000006</v>
      </c>
      <c r="J15">
        <f t="shared" si="0"/>
        <v>9.9999999999056399E-4</v>
      </c>
      <c r="K15">
        <v>245.83500000000001</v>
      </c>
      <c r="L15">
        <f t="shared" si="1"/>
        <v>0.9999871309413525</v>
      </c>
      <c r="M15">
        <f t="shared" si="2"/>
        <v>0.99969487216627595</v>
      </c>
      <c r="N15">
        <f t="shared" si="3"/>
        <v>0.93843376396986966</v>
      </c>
      <c r="O15">
        <v>1149</v>
      </c>
      <c r="P15">
        <v>2161</v>
      </c>
      <c r="Q15" t="s">
        <v>29</v>
      </c>
      <c r="R15" t="s">
        <v>30</v>
      </c>
      <c r="S15" t="s">
        <v>27</v>
      </c>
    </row>
    <row r="16" spans="1:19" x14ac:dyDescent="0.35">
      <c r="A16">
        <v>14</v>
      </c>
      <c r="B16">
        <v>2036.78</v>
      </c>
      <c r="C16">
        <v>70.72</v>
      </c>
      <c r="D16">
        <f t="shared" si="4"/>
        <v>0.10999999999999943</v>
      </c>
      <c r="E16">
        <v>29.17</v>
      </c>
      <c r="F16">
        <v>84.83</v>
      </c>
      <c r="G16">
        <v>19881.900000000001</v>
      </c>
      <c r="H16">
        <v>0.46899999999999997</v>
      </c>
      <c r="I16">
        <v>99.53</v>
      </c>
      <c r="J16">
        <f t="shared" si="0"/>
        <v>1.0000000000047748E-3</v>
      </c>
      <c r="K16">
        <v>246.02600000000001</v>
      </c>
      <c r="L16">
        <f t="shared" si="1"/>
        <v>0.99985319983589749</v>
      </c>
      <c r="M16">
        <f t="shared" si="2"/>
        <v>0.99989094087411445</v>
      </c>
      <c r="N16">
        <f t="shared" si="3"/>
        <v>0.93906930062040317</v>
      </c>
      <c r="O16">
        <v>1150</v>
      </c>
      <c r="P16">
        <v>2166</v>
      </c>
      <c r="Q16" t="s">
        <v>29</v>
      </c>
      <c r="R16" t="s">
        <v>30</v>
      </c>
      <c r="S16" t="s">
        <v>27</v>
      </c>
    </row>
    <row r="17" spans="1:19" x14ac:dyDescent="0.35">
      <c r="A17">
        <v>15</v>
      </c>
      <c r="B17">
        <v>2035.47</v>
      </c>
      <c r="C17">
        <v>70.799000000000007</v>
      </c>
      <c r="D17">
        <f t="shared" si="4"/>
        <v>1.099999999999568E-2</v>
      </c>
      <c r="E17">
        <v>29.19</v>
      </c>
      <c r="F17">
        <v>84.82</v>
      </c>
      <c r="G17">
        <v>1988.3</v>
      </c>
      <c r="H17">
        <v>0.46600000000000003</v>
      </c>
      <c r="I17">
        <v>99.533000000000001</v>
      </c>
      <c r="J17">
        <f t="shared" si="0"/>
        <v>1.0000000000047748E-3</v>
      </c>
      <c r="K17">
        <v>246.131</v>
      </c>
      <c r="L17">
        <f t="shared" si="1"/>
        <v>0.99989521654666713</v>
      </c>
      <c r="M17">
        <f t="shared" si="2"/>
        <v>9.9997640159048343E-2</v>
      </c>
      <c r="N17">
        <f t="shared" si="3"/>
        <v>0.93951365967418954</v>
      </c>
      <c r="O17">
        <v>1150</v>
      </c>
      <c r="P17">
        <v>2168</v>
      </c>
      <c r="Q17" t="s">
        <v>29</v>
      </c>
      <c r="R17" t="s">
        <v>30</v>
      </c>
      <c r="S17" t="s">
        <v>27</v>
      </c>
    </row>
    <row r="18" spans="1:19" x14ac:dyDescent="0.35">
      <c r="A18">
        <v>16</v>
      </c>
      <c r="B18">
        <v>2035.34</v>
      </c>
      <c r="C18">
        <v>70.805999999999997</v>
      </c>
      <c r="D18">
        <v>4.0000000000000001E-3</v>
      </c>
      <c r="E18">
        <v>29.19</v>
      </c>
      <c r="F18">
        <v>84.82</v>
      </c>
      <c r="G18">
        <v>19883.400000000001</v>
      </c>
      <c r="H18">
        <v>0.46600000000000003</v>
      </c>
      <c r="I18">
        <v>99.533000000000001</v>
      </c>
      <c r="J18">
        <f t="shared" si="0"/>
        <v>1.0000000000047748E-3</v>
      </c>
      <c r="K18">
        <v>245.142</v>
      </c>
      <c r="L18">
        <f t="shared" si="1"/>
        <v>0.99983135592570438</v>
      </c>
      <c r="M18">
        <f t="shared" si="2"/>
        <v>0.99999651880421558</v>
      </c>
      <c r="N18">
        <f t="shared" si="3"/>
        <v>0.93954654060896003</v>
      </c>
      <c r="O18">
        <v>1150</v>
      </c>
      <c r="P18">
        <v>2168</v>
      </c>
      <c r="Q18" t="s">
        <v>29</v>
      </c>
      <c r="R18" t="s">
        <v>30</v>
      </c>
      <c r="S18" t="s">
        <v>27</v>
      </c>
    </row>
    <row r="19" spans="1:19" x14ac:dyDescent="0.35">
      <c r="A19">
        <v>17</v>
      </c>
      <c r="B19">
        <v>2035.34</v>
      </c>
      <c r="C19">
        <v>70.805999999999997</v>
      </c>
      <c r="D19">
        <v>4.0000000000000001E-3</v>
      </c>
      <c r="E19">
        <v>29.19</v>
      </c>
      <c r="F19">
        <v>84.82</v>
      </c>
      <c r="G19">
        <v>19883.400000000001</v>
      </c>
      <c r="H19">
        <v>0.46600000000000003</v>
      </c>
      <c r="I19">
        <v>99.533000000000001</v>
      </c>
      <c r="J19">
        <f t="shared" si="0"/>
        <v>1.0000000000047748E-3</v>
      </c>
      <c r="K19">
        <v>246.142</v>
      </c>
      <c r="L19">
        <f t="shared" si="1"/>
        <v>0.99983135592570438</v>
      </c>
      <c r="M19">
        <f t="shared" si="2"/>
        <v>0.99999651880421558</v>
      </c>
      <c r="N19">
        <f t="shared" si="3"/>
        <v>0.93954654060896003</v>
      </c>
      <c r="O19">
        <v>2108</v>
      </c>
      <c r="P19">
        <v>3126.9</v>
      </c>
      <c r="Q19" t="s">
        <v>29</v>
      </c>
      <c r="R19" t="s">
        <v>30</v>
      </c>
      <c r="S19" t="s">
        <v>27</v>
      </c>
    </row>
    <row r="20" spans="1:19" x14ac:dyDescent="0.35">
      <c r="A20">
        <v>18</v>
      </c>
      <c r="B20">
        <v>2035.34</v>
      </c>
      <c r="C20">
        <v>70.805999999999997</v>
      </c>
      <c r="D20">
        <f>100-(C20+E20)</f>
        <v>4.0000000000048885E-3</v>
      </c>
      <c r="E20">
        <v>29.19</v>
      </c>
      <c r="F20">
        <v>84.82</v>
      </c>
      <c r="G20">
        <v>19883.400000000001</v>
      </c>
      <c r="H20">
        <v>0.46600000000000003</v>
      </c>
      <c r="I20">
        <v>99.533000000000001</v>
      </c>
      <c r="J20">
        <f t="shared" si="0"/>
        <v>1.0000000000047748E-3</v>
      </c>
      <c r="K20">
        <v>246.142</v>
      </c>
      <c r="L20">
        <f t="shared" si="1"/>
        <v>0.99983135592570438</v>
      </c>
      <c r="M20">
        <f t="shared" si="2"/>
        <v>0.99999651880421558</v>
      </c>
      <c r="N20">
        <f t="shared" si="3"/>
        <v>0.93954654060896003</v>
      </c>
      <c r="O20">
        <v>2372</v>
      </c>
      <c r="P20">
        <v>3390.5</v>
      </c>
      <c r="Q20" t="s">
        <v>29</v>
      </c>
      <c r="R20" t="s">
        <v>30</v>
      </c>
      <c r="S20" t="s">
        <v>27</v>
      </c>
    </row>
    <row r="21" spans="1:19" x14ac:dyDescent="0.35">
      <c r="A21">
        <v>19</v>
      </c>
      <c r="B21">
        <v>2035.34</v>
      </c>
      <c r="C21">
        <v>70.805999999999997</v>
      </c>
      <c r="D21">
        <v>4.0000000000000001E-3</v>
      </c>
      <c r="E21">
        <v>29.19</v>
      </c>
      <c r="F21">
        <v>84.82</v>
      </c>
      <c r="G21">
        <v>19883.400000000001</v>
      </c>
      <c r="H21">
        <v>0.46600000000000003</v>
      </c>
      <c r="I21">
        <v>99.533000000000001</v>
      </c>
      <c r="J21">
        <f t="shared" si="0"/>
        <v>1.0000000000047748E-3</v>
      </c>
      <c r="K21">
        <v>246.142</v>
      </c>
      <c r="L21">
        <f t="shared" si="1"/>
        <v>0.99983135592570438</v>
      </c>
      <c r="M21">
        <f t="shared" si="2"/>
        <v>0.99999651880421558</v>
      </c>
      <c r="N21">
        <f t="shared" si="3"/>
        <v>0.93954654060896003</v>
      </c>
      <c r="O21">
        <v>2636</v>
      </c>
      <c r="P21">
        <v>3654.1</v>
      </c>
      <c r="Q21" t="s">
        <v>29</v>
      </c>
      <c r="R21" t="s">
        <v>30</v>
      </c>
      <c r="S21" t="s">
        <v>27</v>
      </c>
    </row>
    <row r="22" spans="1:19" x14ac:dyDescent="0.35">
      <c r="A22">
        <v>20</v>
      </c>
      <c r="B22">
        <v>2035.34</v>
      </c>
      <c r="C22">
        <v>70.805999999999997</v>
      </c>
      <c r="D22">
        <f>100-(C22+E22)</f>
        <v>4.0000000000048885E-3</v>
      </c>
      <c r="E22">
        <v>29.19</v>
      </c>
      <c r="F22">
        <v>84.82</v>
      </c>
      <c r="G22">
        <v>19883.400000000001</v>
      </c>
      <c r="H22">
        <v>0.46600000000000003</v>
      </c>
      <c r="I22">
        <v>99.533000000000001</v>
      </c>
      <c r="J22">
        <f t="shared" si="0"/>
        <v>1.0000000000047748E-3</v>
      </c>
      <c r="K22">
        <v>246.142</v>
      </c>
      <c r="L22">
        <f t="shared" si="1"/>
        <v>0.99983135592570438</v>
      </c>
      <c r="M22">
        <f t="shared" si="2"/>
        <v>0.99999651880421558</v>
      </c>
      <c r="N22">
        <f t="shared" si="3"/>
        <v>0.93954654060896003</v>
      </c>
      <c r="O22">
        <v>2899</v>
      </c>
      <c r="P22">
        <v>3917</v>
      </c>
      <c r="Q22" t="s">
        <v>29</v>
      </c>
      <c r="R22" t="s">
        <v>30</v>
      </c>
      <c r="S22" t="s">
        <v>27</v>
      </c>
    </row>
    <row r="23" spans="1:19" x14ac:dyDescent="0.35">
      <c r="A23">
        <v>21</v>
      </c>
      <c r="B23">
        <v>2035.34</v>
      </c>
      <c r="C23">
        <v>70.805999999999997</v>
      </c>
      <c r="D23">
        <v>4.0000000000000001E-3</v>
      </c>
      <c r="E23">
        <v>29.19</v>
      </c>
      <c r="F23">
        <v>84.82</v>
      </c>
      <c r="G23">
        <v>19883.400000000001</v>
      </c>
      <c r="H23">
        <v>0.46600000000000003</v>
      </c>
      <c r="I23">
        <v>99.533000000000001</v>
      </c>
      <c r="J23">
        <f t="shared" si="0"/>
        <v>1.0000000000047748E-3</v>
      </c>
      <c r="K23">
        <v>246.142</v>
      </c>
      <c r="L23">
        <f t="shared" si="1"/>
        <v>0.99983135592570438</v>
      </c>
      <c r="M23">
        <f t="shared" si="2"/>
        <v>0.99999651880421558</v>
      </c>
      <c r="N23">
        <f t="shared" si="3"/>
        <v>0.93954654060896003</v>
      </c>
      <c r="O23">
        <v>3162</v>
      </c>
      <c r="P23">
        <v>4179.8999999999996</v>
      </c>
      <c r="Q23" t="s">
        <v>29</v>
      </c>
      <c r="R23" t="s">
        <v>30</v>
      </c>
      <c r="S23" t="s">
        <v>27</v>
      </c>
    </row>
    <row r="25" spans="1:19" x14ac:dyDescent="0.35">
      <c r="A25">
        <v>22</v>
      </c>
      <c r="B25">
        <v>2102.5700000000002</v>
      </c>
      <c r="C25">
        <v>67.233999999999995</v>
      </c>
      <c r="D25">
        <f>100-(C25+E25)</f>
        <v>4.5060000000000002</v>
      </c>
      <c r="E25">
        <v>28.26</v>
      </c>
      <c r="F25">
        <v>85.462999999999994</v>
      </c>
      <c r="G25">
        <v>19816.099999999999</v>
      </c>
      <c r="H25">
        <v>0.48199999999999998</v>
      </c>
      <c r="I25">
        <v>99.39</v>
      </c>
      <c r="J25">
        <v>0.60599999999999998</v>
      </c>
      <c r="K25">
        <v>240.82400000000001</v>
      </c>
      <c r="L25">
        <f t="shared" ref="L25" si="5">(B25*E25)/(21918.7*2.711)</f>
        <v>0.99995006024383837</v>
      </c>
      <c r="M25">
        <f t="shared" ref="M25" si="6">(G25*I25)/(21918.7*90.291)</f>
        <v>0.99517995602308817</v>
      </c>
      <c r="N25">
        <f t="shared" ref="N25" si="7">(B25*C25)/(21918.7*6.998)</f>
        <v>0.9216174362022107</v>
      </c>
      <c r="O25">
        <v>1199</v>
      </c>
      <c r="P25">
        <v>2105</v>
      </c>
      <c r="Q25" t="s">
        <v>29</v>
      </c>
      <c r="R25" t="s">
        <v>30</v>
      </c>
      <c r="S25" t="s">
        <v>27</v>
      </c>
    </row>
    <row r="26" spans="1:19" x14ac:dyDescent="0.35">
      <c r="A26">
        <v>23</v>
      </c>
      <c r="B26">
        <v>2042.99</v>
      </c>
      <c r="C26">
        <v>70.388000000000005</v>
      </c>
      <c r="D26">
        <f>100-(C26+E26)</f>
        <v>0.53199999999999648</v>
      </c>
      <c r="E26">
        <v>29.08</v>
      </c>
      <c r="F26">
        <v>84.888999999999996</v>
      </c>
      <c r="G26">
        <v>19875.7</v>
      </c>
      <c r="H26">
        <v>0.48199999999999998</v>
      </c>
      <c r="I26">
        <v>99.51</v>
      </c>
      <c r="J26">
        <f>100-(I26+H26)</f>
        <v>7.9999999999955662E-3</v>
      </c>
      <c r="K26">
        <v>245.52600000000001</v>
      </c>
      <c r="L26">
        <f t="shared" ref="L26" si="8">(B26*E26)/(21918.7*2.711)</f>
        <v>0.99980736801384829</v>
      </c>
      <c r="M26">
        <f t="shared" ref="M26" si="9">(G26*I26)/(21918.7*90.291)</f>
        <v>0.99937827359158915</v>
      </c>
      <c r="N26">
        <f t="shared" ref="N26" si="10">(B26*C26)/(21918.7*6.998)</f>
        <v>0.93751048936248438</v>
      </c>
      <c r="O26">
        <v>1149</v>
      </c>
      <c r="P26">
        <v>2153</v>
      </c>
      <c r="Q26" t="s">
        <v>29</v>
      </c>
      <c r="R26" t="s">
        <v>30</v>
      </c>
      <c r="S26" t="s">
        <v>27</v>
      </c>
    </row>
    <row r="27" spans="1:19" x14ac:dyDescent="0.35">
      <c r="A27">
        <v>24</v>
      </c>
      <c r="B27">
        <v>2042.97</v>
      </c>
      <c r="C27">
        <v>70.388000000000005</v>
      </c>
      <c r="D27">
        <f>100-(C27+E27)</f>
        <v>0.53199999999999648</v>
      </c>
      <c r="E27">
        <v>29.08</v>
      </c>
      <c r="F27">
        <v>84.888999999999996</v>
      </c>
      <c r="G27">
        <v>19875.7</v>
      </c>
      <c r="H27">
        <v>0.48199999999999998</v>
      </c>
      <c r="I27">
        <v>99.51</v>
      </c>
      <c r="J27">
        <f>100-(I27+H27)</f>
        <v>7.9999999999955662E-3</v>
      </c>
      <c r="K27">
        <v>246.52600000000001</v>
      </c>
      <c r="L27">
        <f t="shared" ref="L27:L28" si="11">(B27*E27)/(21918.7*2.711)</f>
        <v>0.99979758032650745</v>
      </c>
      <c r="M27">
        <f t="shared" ref="M27:M28" si="12">(G27*I27)/(21918.7*90.291)</f>
        <v>0.99937827359158915</v>
      </c>
      <c r="N27">
        <f t="shared" ref="N27:N28" si="13">(B27*C27)/(21918.7*6.998)</f>
        <v>0.93750131153499261</v>
      </c>
      <c r="O27">
        <v>1149</v>
      </c>
      <c r="P27">
        <v>2153</v>
      </c>
      <c r="Q27" t="s">
        <v>29</v>
      </c>
      <c r="R27" t="s">
        <v>30</v>
      </c>
      <c r="S27" t="s">
        <v>27</v>
      </c>
    </row>
    <row r="28" spans="1:19" x14ac:dyDescent="0.35">
      <c r="A28">
        <v>25</v>
      </c>
      <c r="B28">
        <v>2042.94</v>
      </c>
      <c r="C28">
        <v>70.39</v>
      </c>
      <c r="D28">
        <f>100-(C28+E28)</f>
        <v>0.53000000000000114</v>
      </c>
      <c r="E28">
        <v>29.08</v>
      </c>
      <c r="F28">
        <v>84.89</v>
      </c>
      <c r="G28">
        <v>19875.7</v>
      </c>
      <c r="H28">
        <v>0.48199999999999998</v>
      </c>
      <c r="I28">
        <v>99.51</v>
      </c>
      <c r="J28">
        <f>100-(I28+H28)</f>
        <v>7.9999999999955662E-3</v>
      </c>
      <c r="K28">
        <v>245.518</v>
      </c>
      <c r="L28">
        <f t="shared" si="11"/>
        <v>0.99978289879549631</v>
      </c>
      <c r="M28">
        <f t="shared" si="12"/>
        <v>0.99937827359158915</v>
      </c>
      <c r="N28">
        <f t="shared" si="13"/>
        <v>0.93751418250315977</v>
      </c>
      <c r="O28">
        <v>1149</v>
      </c>
      <c r="P28">
        <v>2153</v>
      </c>
      <c r="Q28" t="s">
        <v>29</v>
      </c>
      <c r="R28" t="s">
        <v>30</v>
      </c>
      <c r="S28" t="s">
        <v>27</v>
      </c>
    </row>
    <row r="29" spans="1:19" x14ac:dyDescent="0.35">
      <c r="A29">
        <v>26</v>
      </c>
      <c r="B29" t="s">
        <v>31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33</v>
      </c>
      <c r="R29" t="s">
        <v>31</v>
      </c>
      <c r="S29" t="s">
        <v>31</v>
      </c>
    </row>
    <row r="31" spans="1:19" x14ac:dyDescent="0.35">
      <c r="A31">
        <v>27</v>
      </c>
      <c r="B31">
        <v>2043.2</v>
      </c>
      <c r="C31">
        <v>70.376999999999995</v>
      </c>
      <c r="D31">
        <f>100-(C31+E31)</f>
        <v>0.55299999999999727</v>
      </c>
      <c r="E31">
        <v>29.07</v>
      </c>
      <c r="F31">
        <v>84.893000000000001</v>
      </c>
      <c r="G31">
        <v>19875.5</v>
      </c>
      <c r="H31">
        <v>0.48199999999999998</v>
      </c>
      <c r="I31">
        <v>99.51</v>
      </c>
      <c r="J31">
        <f>100-(I31+H31)</f>
        <v>7.9999999999955662E-3</v>
      </c>
      <c r="K31">
        <v>245.49600000000001</v>
      </c>
      <c r="L31">
        <f t="shared" ref="L31" si="14">(B31*E31)/(21918.7*2.711)</f>
        <v>0.99956629067771741</v>
      </c>
      <c r="M31">
        <f t="shared" ref="M31" si="15">(G31*I31)/(21918.7*90.291)</f>
        <v>0.99936821730905734</v>
      </c>
      <c r="N31">
        <f t="shared" ref="N31" si="16">(B31*C31)/(21918.7*6.998)</f>
        <v>0.93746033050377986</v>
      </c>
      <c r="O31">
        <v>1149</v>
      </c>
      <c r="P31">
        <v>2153</v>
      </c>
      <c r="Q31" t="s">
        <v>29</v>
      </c>
      <c r="R31" t="s">
        <v>30</v>
      </c>
      <c r="S31" t="s">
        <v>27</v>
      </c>
    </row>
    <row r="32" spans="1:19" x14ac:dyDescent="0.35">
      <c r="A32">
        <v>28</v>
      </c>
      <c r="B32">
        <v>2042.99</v>
      </c>
      <c r="C32">
        <v>70.388000000000005</v>
      </c>
      <c r="D32">
        <f>100-(C32+E32)</f>
        <v>0.53199999999999648</v>
      </c>
      <c r="E32">
        <v>29.08</v>
      </c>
      <c r="F32">
        <v>84.89</v>
      </c>
      <c r="G32">
        <v>19875.7</v>
      </c>
      <c r="H32">
        <v>0.48199999999999998</v>
      </c>
      <c r="I32">
        <v>99.51</v>
      </c>
      <c r="J32">
        <f>100-(I32+H32)</f>
        <v>7.9999999999955662E-3</v>
      </c>
      <c r="K32">
        <v>245.523</v>
      </c>
      <c r="L32">
        <f t="shared" ref="L32" si="17">(B32*E32)/(21918.7*2.711)</f>
        <v>0.99980736801384829</v>
      </c>
      <c r="M32">
        <f t="shared" ref="M32" si="18">(G32*I32)/(21918.7*90.291)</f>
        <v>0.99937827359158915</v>
      </c>
      <c r="N32">
        <f t="shared" ref="N32" si="19">(B32*C32)/(21918.7*6.998)</f>
        <v>0.93751048936248438</v>
      </c>
      <c r="O32">
        <v>1149</v>
      </c>
      <c r="P32">
        <v>2153</v>
      </c>
      <c r="Q32" t="s">
        <v>29</v>
      </c>
      <c r="R32" t="s">
        <v>30</v>
      </c>
      <c r="S32" t="s">
        <v>27</v>
      </c>
    </row>
    <row r="33" spans="1:19" x14ac:dyDescent="0.35">
      <c r="A33">
        <v>29</v>
      </c>
      <c r="B33">
        <v>2042.99</v>
      </c>
      <c r="C33">
        <v>70.388000000000005</v>
      </c>
      <c r="D33">
        <f>100-(C33+E33)</f>
        <v>0.53199999999999648</v>
      </c>
      <c r="E33">
        <v>29.08</v>
      </c>
      <c r="F33">
        <v>84.888999999999996</v>
      </c>
      <c r="G33">
        <v>19875.7</v>
      </c>
      <c r="H33">
        <v>0.48199999999999998</v>
      </c>
      <c r="I33">
        <v>99.51</v>
      </c>
      <c r="J33">
        <f t="shared" ref="J33:J34" si="20">100-(I33+H33)</f>
        <v>7.9999999999955662E-3</v>
      </c>
      <c r="K33">
        <v>246.523</v>
      </c>
      <c r="L33">
        <f t="shared" ref="L33:L34" si="21">(B33*E33)/(21918.7*2.711)</f>
        <v>0.99980736801384829</v>
      </c>
      <c r="M33">
        <f t="shared" ref="M33:M34" si="22">(G33*I33)/(21918.7*90.291)</f>
        <v>0.99937827359158915</v>
      </c>
      <c r="N33">
        <f t="shared" ref="N33:N34" si="23">(B33*C33)/(21918.7*6.998)</f>
        <v>0.93751048936248438</v>
      </c>
      <c r="O33">
        <v>1149</v>
      </c>
      <c r="P33">
        <v>2153</v>
      </c>
      <c r="Q33" t="s">
        <v>29</v>
      </c>
      <c r="R33" t="s">
        <v>30</v>
      </c>
      <c r="S33" t="s">
        <v>27</v>
      </c>
    </row>
    <row r="34" spans="1:19" x14ac:dyDescent="0.35">
      <c r="A34">
        <v>30</v>
      </c>
      <c r="B34">
        <v>2042.99</v>
      </c>
      <c r="C34">
        <v>70.388000000000005</v>
      </c>
      <c r="D34">
        <f>100-(C34+E34)</f>
        <v>0.53199999999999648</v>
      </c>
      <c r="E34">
        <v>29.08</v>
      </c>
      <c r="F34">
        <v>84.888999999999996</v>
      </c>
      <c r="G34">
        <v>19875.7</v>
      </c>
      <c r="H34">
        <v>0.48199999999999998</v>
      </c>
      <c r="I34">
        <v>99.51</v>
      </c>
      <c r="J34">
        <f t="shared" ref="J34:J41" si="24">100-(I34+H34)</f>
        <v>7.9999999999955662E-3</v>
      </c>
      <c r="K34">
        <v>247.523</v>
      </c>
      <c r="L34">
        <f t="shared" ref="L34" si="25">(B34*E34)/(21918.7*2.711)</f>
        <v>0.99980736801384829</v>
      </c>
      <c r="M34">
        <f t="shared" ref="M34" si="26">(G34*I34)/(21918.7*90.291)</f>
        <v>0.99937827359158915</v>
      </c>
      <c r="N34">
        <f t="shared" ref="N34" si="27">(B34*C34)/(21918.7*6.998)</f>
        <v>0.93751048936248438</v>
      </c>
      <c r="O34">
        <v>1149</v>
      </c>
      <c r="P34">
        <v>2153</v>
      </c>
      <c r="Q34" t="s">
        <v>29</v>
      </c>
      <c r="R34" t="s">
        <v>30</v>
      </c>
      <c r="S34" t="s">
        <v>27</v>
      </c>
    </row>
    <row r="36" spans="1:19" x14ac:dyDescent="0.35">
      <c r="A36">
        <v>31</v>
      </c>
      <c r="B36">
        <v>2043.29</v>
      </c>
      <c r="C36">
        <v>70.370999999999995</v>
      </c>
      <c r="D36">
        <f t="shared" ref="D35:D41" si="28">100-(C36+E36)</f>
        <v>0.54900000000000659</v>
      </c>
      <c r="E36">
        <v>29.08</v>
      </c>
      <c r="F36">
        <v>78.67</v>
      </c>
      <c r="G36">
        <v>19875.400000000001</v>
      </c>
      <c r="H36">
        <v>0.48199999999999998</v>
      </c>
      <c r="I36">
        <v>99.51</v>
      </c>
      <c r="J36">
        <f t="shared" si="24"/>
        <v>7.9999999999955662E-3</v>
      </c>
      <c r="K36">
        <v>235.82</v>
      </c>
      <c r="L36">
        <f t="shared" ref="L35:L41" si="29">(B36*E36)/(21918.7*2.711)</f>
        <v>0.99995418332395936</v>
      </c>
      <c r="M36">
        <f t="shared" ref="M35:M41" si="30">(G36*I36)/(21918.7*90.291)</f>
        <v>0.99936318916779143</v>
      </c>
      <c r="N36">
        <f t="shared" ref="N35:N41" si="31">(B36*C36)/(21918.7*6.998)</f>
        <v>0.93742169745416315</v>
      </c>
      <c r="O36">
        <v>1159</v>
      </c>
      <c r="P36">
        <v>1958</v>
      </c>
      <c r="Q36" t="s">
        <v>29</v>
      </c>
      <c r="R36" t="s">
        <v>30</v>
      </c>
      <c r="S36" t="s">
        <v>27</v>
      </c>
    </row>
    <row r="37" spans="1:19" x14ac:dyDescent="0.35">
      <c r="A37">
        <v>32</v>
      </c>
      <c r="B37">
        <v>2042.99</v>
      </c>
      <c r="C37">
        <v>70.38</v>
      </c>
      <c r="D37">
        <f t="shared" si="28"/>
        <v>0.54000000000000625</v>
      </c>
      <c r="E37">
        <v>29.08</v>
      </c>
      <c r="F37">
        <v>84.89</v>
      </c>
      <c r="G37">
        <v>19875.7</v>
      </c>
      <c r="H37">
        <v>0.48199999999999998</v>
      </c>
      <c r="I37">
        <v>99.516999999999996</v>
      </c>
      <c r="J37">
        <f t="shared" si="24"/>
        <v>1.0000000000047748E-3</v>
      </c>
      <c r="K37">
        <v>245.52699999999999</v>
      </c>
      <c r="L37">
        <f t="shared" si="29"/>
        <v>0.99980736801384829</v>
      </c>
      <c r="M37">
        <f t="shared" si="30"/>
        <v>0.99944857454541425</v>
      </c>
      <c r="N37">
        <f t="shared" si="31"/>
        <v>0.93740393591708282</v>
      </c>
      <c r="O37">
        <v>1149</v>
      </c>
      <c r="P37">
        <v>2153</v>
      </c>
      <c r="Q37" t="s">
        <v>29</v>
      </c>
      <c r="R37" t="s">
        <v>30</v>
      </c>
      <c r="S37" t="s">
        <v>27</v>
      </c>
    </row>
    <row r="38" spans="1:19" x14ac:dyDescent="0.35">
      <c r="A38">
        <v>33</v>
      </c>
      <c r="B38">
        <v>2042.94</v>
      </c>
      <c r="C38">
        <v>70.39</v>
      </c>
      <c r="D38">
        <f t="shared" si="28"/>
        <v>0.53000000000000114</v>
      </c>
      <c r="E38">
        <v>29.08</v>
      </c>
      <c r="F38">
        <v>89.500900000000001</v>
      </c>
      <c r="G38">
        <v>19875.8</v>
      </c>
      <c r="H38">
        <v>0.48199999999999998</v>
      </c>
      <c r="I38">
        <v>99.518000000000001</v>
      </c>
      <c r="J38">
        <f t="shared" si="24"/>
        <v>0</v>
      </c>
      <c r="K38">
        <v>252.535</v>
      </c>
      <c r="L38">
        <f t="shared" si="29"/>
        <v>0.99978289879549631</v>
      </c>
      <c r="M38">
        <f t="shared" si="30"/>
        <v>0.9994636460843157</v>
      </c>
      <c r="N38">
        <f t="shared" si="31"/>
        <v>0.93751418250315977</v>
      </c>
      <c r="O38">
        <v>1141</v>
      </c>
      <c r="P38">
        <v>2297</v>
      </c>
      <c r="Q38" t="s">
        <v>29</v>
      </c>
      <c r="R38" t="s">
        <v>30</v>
      </c>
      <c r="S38" t="s">
        <v>27</v>
      </c>
    </row>
    <row r="39" spans="1:19" x14ac:dyDescent="0.35">
      <c r="A39">
        <v>34</v>
      </c>
      <c r="B39">
        <v>2043.54</v>
      </c>
      <c r="C39">
        <v>70.358000000000004</v>
      </c>
      <c r="D39">
        <f t="shared" si="28"/>
        <v>0.57200000000000273</v>
      </c>
      <c r="E39">
        <v>29.07</v>
      </c>
      <c r="F39">
        <v>104.31</v>
      </c>
      <c r="G39">
        <v>19875.2</v>
      </c>
      <c r="H39">
        <v>0.48299999999999998</v>
      </c>
      <c r="I39">
        <v>99.516000000000005</v>
      </c>
      <c r="J39">
        <f t="shared" si="24"/>
        <v>9.9999999999056399E-4</v>
      </c>
      <c r="K39">
        <v>274.04300000000001</v>
      </c>
      <c r="L39">
        <f t="shared" si="29"/>
        <v>0.99973262414425534</v>
      </c>
      <c r="M39">
        <f t="shared" si="30"/>
        <v>0.99941338932981105</v>
      </c>
      <c r="N39">
        <f t="shared" si="31"/>
        <v>0.93736319662724932</v>
      </c>
      <c r="O39">
        <v>1116</v>
      </c>
      <c r="P39">
        <v>2753</v>
      </c>
      <c r="Q39" t="s">
        <v>29</v>
      </c>
      <c r="R39" t="s">
        <v>30</v>
      </c>
      <c r="S39" t="s">
        <v>27</v>
      </c>
    </row>
    <row r="40" spans="1:19" x14ac:dyDescent="0.35">
      <c r="A40">
        <v>35</v>
      </c>
      <c r="B40">
        <v>2044.98</v>
      </c>
      <c r="C40">
        <v>70.278999999999996</v>
      </c>
      <c r="D40">
        <f t="shared" si="28"/>
        <v>0.66599999999999682</v>
      </c>
      <c r="E40">
        <v>29.055</v>
      </c>
      <c r="F40">
        <v>117.111</v>
      </c>
      <c r="G40">
        <v>19873.7</v>
      </c>
      <c r="H40">
        <v>0.48599999999999999</v>
      </c>
      <c r="I40">
        <v>99.513000000000005</v>
      </c>
      <c r="J40">
        <f t="shared" si="24"/>
        <v>9.9999999999056399E-4</v>
      </c>
      <c r="K40">
        <v>291.548</v>
      </c>
      <c r="L40">
        <f t="shared" si="29"/>
        <v>0.99992087388524986</v>
      </c>
      <c r="M40">
        <f t="shared" si="30"/>
        <v>0.99930783671474122</v>
      </c>
      <c r="N40">
        <f t="shared" si="31"/>
        <v>0.93697047836940583</v>
      </c>
      <c r="O40">
        <v>1094</v>
      </c>
      <c r="P40">
        <v>3146</v>
      </c>
      <c r="Q40" t="s">
        <v>29</v>
      </c>
      <c r="R40" t="s">
        <v>30</v>
      </c>
      <c r="S40" t="s">
        <v>27</v>
      </c>
    </row>
    <row r="41" spans="1:19" x14ac:dyDescent="0.35">
      <c r="A41">
        <v>36</v>
      </c>
      <c r="B41">
        <v>2045.77</v>
      </c>
      <c r="C41">
        <v>70.236000000000004</v>
      </c>
      <c r="D41">
        <f t="shared" si="28"/>
        <v>0.71999999999999886</v>
      </c>
      <c r="E41">
        <v>29.044</v>
      </c>
      <c r="F41">
        <v>122.24299999999999</v>
      </c>
      <c r="G41">
        <v>19872.900000000001</v>
      </c>
      <c r="H41">
        <v>0.48799999999999999</v>
      </c>
      <c r="I41">
        <v>99.512</v>
      </c>
      <c r="J41">
        <f t="shared" si="24"/>
        <v>0</v>
      </c>
      <c r="K41">
        <v>298.32499999999999</v>
      </c>
      <c r="L41">
        <f t="shared" si="29"/>
        <v>0.99992844655297608</v>
      </c>
      <c r="M41">
        <f t="shared" si="30"/>
        <v>0.99925756879332628</v>
      </c>
      <c r="N41">
        <f t="shared" si="31"/>
        <v>0.93675893706044544</v>
      </c>
      <c r="O41">
        <v>1085</v>
      </c>
      <c r="P41">
        <v>3295</v>
      </c>
      <c r="Q41" t="s">
        <v>29</v>
      </c>
      <c r="R41" t="s">
        <v>30</v>
      </c>
      <c r="S4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Operating_condition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kamlendra11701@gmail.com</cp:lastModifiedBy>
  <dcterms:created xsi:type="dcterms:W3CDTF">2015-06-05T18:17:20Z</dcterms:created>
  <dcterms:modified xsi:type="dcterms:W3CDTF">2026-06-14T20:17:40Z</dcterms:modified>
</cp:coreProperties>
</file>