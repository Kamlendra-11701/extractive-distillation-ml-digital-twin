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1\"/>
    </mc:Choice>
  </mc:AlternateContent>
  <xr:revisionPtr revIDLastSave="0" documentId="13_ncr:1_{15E1CAC8-6B41-43EE-9C4D-16479E9C005E}" xr6:coauthVersionLast="47" xr6:coauthVersionMax="47" xr10:uidLastSave="{00000000-0000-0000-0000-000000000000}"/>
  <bookViews>
    <workbookView xWindow="-110" yWindow="-110" windowWidth="19420" windowHeight="11020" tabRatio="689" activeTab="4" xr2:uid="{00000000-000D-0000-FFFF-FFFF00000000}"/>
  </bookViews>
  <sheets>
    <sheet name="Constant_Inputs" sheetId="1" r:id="rId1"/>
    <sheet name="Variable_Inputs" sheetId="5" r:id="rId2"/>
    <sheet name="Inputs" sheetId="6" r:id="rId3"/>
    <sheet name="Column1_results" sheetId="2" r:id="rId4"/>
    <sheet name="Column2_results" sheetId="3" r:id="rId5"/>
    <sheet name=".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F10" i="2"/>
  <c r="I10" i="2"/>
  <c r="F11" i="3"/>
  <c r="I11" i="3"/>
  <c r="D10" i="3"/>
  <c r="I11" i="2"/>
  <c r="F11" i="2"/>
  <c r="I7" i="3"/>
  <c r="F7" i="3"/>
  <c r="I7" i="2"/>
  <c r="F7" i="2"/>
  <c r="D6" i="3"/>
  <c r="I6" i="2"/>
  <c r="F6" i="2"/>
  <c r="I2" i="3"/>
  <c r="D2" i="3"/>
  <c r="I2" i="2"/>
  <c r="F2" i="2"/>
</calcChain>
</file>

<file path=xl/sharedStrings.xml><?xml version="1.0" encoding="utf-8"?>
<sst xmlns="http://schemas.openxmlformats.org/spreadsheetml/2006/main" count="350" uniqueCount="64">
  <si>
    <t>Run</t>
  </si>
  <si>
    <t>Boilup Ratio</t>
  </si>
  <si>
    <t>Feed Stage</t>
  </si>
  <si>
    <t>Solvent Stage</t>
  </si>
  <si>
    <t>Top Flow</t>
  </si>
  <si>
    <t>Bottom Flow</t>
  </si>
  <si>
    <t>Ethanol Top wt%</t>
  </si>
  <si>
    <t>Water Top wt%</t>
  </si>
  <si>
    <t>EG Top wt%</t>
  </si>
  <si>
    <t>Ethanol Bottom wt%</t>
  </si>
  <si>
    <t>Water Bottom wt%</t>
  </si>
  <si>
    <t>EG Bottom wt%</t>
  </si>
  <si>
    <t>Top Temp</t>
  </si>
  <si>
    <t>Bottom Temp</t>
  </si>
  <si>
    <t>Condenser Duty C1</t>
  </si>
  <si>
    <t>Reboiler Duty C1</t>
  </si>
  <si>
    <t>Converged?</t>
  </si>
  <si>
    <t>Condenser Duty C2</t>
  </si>
  <si>
    <t>Reboiler Duty C2</t>
  </si>
  <si>
    <t xml:space="preserve">Constant Overall Values </t>
  </si>
  <si>
    <t>Column 1</t>
  </si>
  <si>
    <t>Column 2</t>
  </si>
  <si>
    <t>Feed flow rate</t>
  </si>
  <si>
    <t>5173 kg/hr</t>
  </si>
  <si>
    <t>Feed Temperature</t>
  </si>
  <si>
    <t>111.2 C</t>
  </si>
  <si>
    <t xml:space="preserve">Feed Pressure </t>
  </si>
  <si>
    <t>3.5 bar</t>
  </si>
  <si>
    <t>Feed composition</t>
  </si>
  <si>
    <t>73 wt% Ethanol , 27 wt% water</t>
  </si>
  <si>
    <t>Solvent flow rate</t>
  </si>
  <si>
    <t>20,000 kg/hr</t>
  </si>
  <si>
    <t>Solvent Temperature</t>
  </si>
  <si>
    <t>256 C</t>
  </si>
  <si>
    <t>Solvent Pressure</t>
  </si>
  <si>
    <t>4.5 bar</t>
  </si>
  <si>
    <t>Solvent Composition</t>
  </si>
  <si>
    <t xml:space="preserve">99 wt% Ethylene Glycol </t>
  </si>
  <si>
    <t>1 wt % Water</t>
  </si>
  <si>
    <t>Column 1 Stages</t>
  </si>
  <si>
    <t>Reflux Ratio</t>
  </si>
  <si>
    <t>Column 2 stages</t>
  </si>
  <si>
    <t xml:space="preserve">Varaible/Unknown/Assumed Values </t>
  </si>
  <si>
    <t xml:space="preserve">Column 1 </t>
  </si>
  <si>
    <t>Bottom Flow rate</t>
  </si>
  <si>
    <t>Column 2 Pressure</t>
  </si>
  <si>
    <t>Variable</t>
  </si>
  <si>
    <t>Unknown</t>
  </si>
  <si>
    <t>Condesor Type -</t>
  </si>
  <si>
    <t>Assumed</t>
  </si>
  <si>
    <t>Total Condesor</t>
  </si>
  <si>
    <t>Reboiler Type -</t>
  </si>
  <si>
    <t>Partial</t>
  </si>
  <si>
    <t xml:space="preserve">Condensor pressure - </t>
  </si>
  <si>
    <t>Same as Feed Pressure</t>
  </si>
  <si>
    <t>Column pressure</t>
  </si>
  <si>
    <t>Bottom flow C2</t>
  </si>
  <si>
    <t>Pressure C2</t>
  </si>
  <si>
    <t>Boilup Ratio C1</t>
  </si>
  <si>
    <t>yes</t>
  </si>
  <si>
    <t>_</t>
  </si>
  <si>
    <t>no</t>
  </si>
  <si>
    <t>Top temp</t>
  </si>
  <si>
    <t>V+L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</si>
</sst>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1" applyNumberFormat="0" applyFon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1" applyAlignment="1">
      <alignment horizontal="center"/>
    </xf>
    <xf numFmtId="0" fontId="0" fillId="3" borderId="1" xfId="2" applyFont="1"/>
    <xf numFmtId="0" fontId="0" fillId="3" borderId="1" xfId="2" applyFont="1" applyAlignment="1">
      <alignment horizontal="center"/>
    </xf>
    <xf numFmtId="0" fontId="0" fillId="3" borderId="1" xfId="2" applyFont="1" applyAlignment="1">
      <alignment horizontal="center"/>
    </xf>
  </cellXfs>
  <cellStyles count="3">
    <cellStyle name="Bad" xfId="1" builtinId="2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workbookViewId="0">
      <selection activeCell="D17" sqref="D17"/>
    </sheetView>
  </sheetViews>
  <sheetFormatPr defaultRowHeight="14.5" x14ac:dyDescent="0.35"/>
  <cols>
    <col min="1" max="1" width="11.453125" customWidth="1"/>
    <col min="2" max="2" width="12.7265625" customWidth="1"/>
    <col min="3" max="3" width="26.1796875" customWidth="1"/>
    <col min="4" max="4" width="10.81640625" customWidth="1"/>
    <col min="5" max="5" width="11.453125" customWidth="1"/>
    <col min="6" max="6" width="14.26953125" customWidth="1"/>
  </cols>
  <sheetData>
    <row r="1" spans="1:17" ht="14.5" customHeight="1" x14ac:dyDescent="0.35">
      <c r="A1" s="11" t="s">
        <v>19</v>
      </c>
      <c r="B1" s="11"/>
      <c r="C1" s="11"/>
      <c r="D1" s="11"/>
      <c r="E1" s="11"/>
      <c r="F1" s="11"/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1"/>
      <c r="B2" s="11"/>
      <c r="C2" s="11"/>
      <c r="D2" s="11"/>
      <c r="E2" s="11"/>
      <c r="F2" s="11"/>
      <c r="G2" s="5"/>
    </row>
    <row r="3" spans="1:17" ht="29" customHeight="1" x14ac:dyDescent="0.35">
      <c r="A3" s="10" t="s">
        <v>20</v>
      </c>
      <c r="B3" s="10"/>
      <c r="C3" s="10"/>
      <c r="D3" s="10" t="s">
        <v>21</v>
      </c>
      <c r="E3" s="10"/>
      <c r="F3" s="10"/>
    </row>
    <row r="4" spans="1:17" x14ac:dyDescent="0.35">
      <c r="A4" s="9" t="s">
        <v>22</v>
      </c>
      <c r="B4" s="9"/>
      <c r="C4" s="6" t="s">
        <v>23</v>
      </c>
      <c r="D4" s="9" t="s">
        <v>40</v>
      </c>
      <c r="E4" s="9"/>
      <c r="F4">
        <v>3</v>
      </c>
    </row>
    <row r="5" spans="1:17" x14ac:dyDescent="0.35">
      <c r="A5" s="9" t="s">
        <v>24</v>
      </c>
      <c r="B5" s="9"/>
      <c r="C5" s="6" t="s">
        <v>25</v>
      </c>
      <c r="D5" s="9" t="s">
        <v>41</v>
      </c>
      <c r="E5" s="9"/>
      <c r="F5">
        <v>10</v>
      </c>
    </row>
    <row r="6" spans="1:17" x14ac:dyDescent="0.35">
      <c r="A6" s="9" t="s">
        <v>26</v>
      </c>
      <c r="B6" s="9"/>
      <c r="C6" s="6" t="s">
        <v>27</v>
      </c>
      <c r="D6" s="9" t="s">
        <v>2</v>
      </c>
      <c r="E6" s="9"/>
      <c r="F6">
        <v>5</v>
      </c>
    </row>
    <row r="7" spans="1:17" x14ac:dyDescent="0.35">
      <c r="A7" s="9" t="s">
        <v>28</v>
      </c>
      <c r="B7" s="9"/>
      <c r="C7" s="6" t="s">
        <v>29</v>
      </c>
    </row>
    <row r="8" spans="1:17" x14ac:dyDescent="0.35">
      <c r="A8" s="9" t="s">
        <v>30</v>
      </c>
      <c r="B8" s="9"/>
      <c r="C8" s="6" t="s">
        <v>31</v>
      </c>
    </row>
    <row r="9" spans="1:17" x14ac:dyDescent="0.35">
      <c r="A9" s="9" t="s">
        <v>32</v>
      </c>
      <c r="B9" s="9"/>
      <c r="C9" s="6" t="s">
        <v>33</v>
      </c>
    </row>
    <row r="10" spans="1:17" x14ac:dyDescent="0.35">
      <c r="A10" s="9" t="s">
        <v>34</v>
      </c>
      <c r="B10" s="9"/>
      <c r="C10" s="6" t="s">
        <v>35</v>
      </c>
    </row>
    <row r="11" spans="1:17" x14ac:dyDescent="0.35">
      <c r="A11" s="9" t="s">
        <v>36</v>
      </c>
      <c r="B11" s="9"/>
      <c r="C11" s="7" t="s">
        <v>37</v>
      </c>
    </row>
    <row r="12" spans="1:17" x14ac:dyDescent="0.35">
      <c r="A12" s="9"/>
      <c r="B12" s="9"/>
      <c r="C12" s="7" t="s">
        <v>38</v>
      </c>
    </row>
    <row r="13" spans="1:17" x14ac:dyDescent="0.35">
      <c r="A13" s="9" t="s">
        <v>39</v>
      </c>
      <c r="B13" s="9"/>
      <c r="C13">
        <v>15</v>
      </c>
    </row>
    <row r="14" spans="1:17" x14ac:dyDescent="0.35">
      <c r="A14" s="9" t="s">
        <v>2</v>
      </c>
      <c r="B14" s="9"/>
      <c r="C14">
        <v>8</v>
      </c>
    </row>
    <row r="15" spans="1:17" x14ac:dyDescent="0.35">
      <c r="A15" s="9" t="s">
        <v>3</v>
      </c>
      <c r="B15" s="9"/>
      <c r="C15">
        <v>2</v>
      </c>
    </row>
    <row r="16" spans="1:17" x14ac:dyDescent="0.35">
      <c r="A16" s="9" t="s">
        <v>40</v>
      </c>
      <c r="B16" s="9"/>
      <c r="C16">
        <v>2.8250000000000002</v>
      </c>
    </row>
  </sheetData>
  <mergeCells count="18">
    <mergeCell ref="A3:C3"/>
    <mergeCell ref="D3:F3"/>
    <mergeCell ref="A1:F2"/>
    <mergeCell ref="A4:B4"/>
    <mergeCell ref="A5:B5"/>
    <mergeCell ref="A13:B13"/>
    <mergeCell ref="A14:B14"/>
    <mergeCell ref="A15:B15"/>
    <mergeCell ref="A16:B16"/>
    <mergeCell ref="D4:E4"/>
    <mergeCell ref="D5:E5"/>
    <mergeCell ref="D6:E6"/>
    <mergeCell ref="A8:B8"/>
    <mergeCell ref="A9:B9"/>
    <mergeCell ref="A10:B10"/>
    <mergeCell ref="A11:B12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E364-1FB1-41D8-81B1-E6B897F481CC}">
  <dimension ref="A1:F20"/>
  <sheetViews>
    <sheetView workbookViewId="0">
      <selection activeCell="B22" sqref="B22"/>
    </sheetView>
  </sheetViews>
  <sheetFormatPr defaultRowHeight="14.5" x14ac:dyDescent="0.35"/>
  <cols>
    <col min="1" max="1" width="13.08984375" customWidth="1"/>
    <col min="2" max="2" width="12.90625" customWidth="1"/>
    <col min="3" max="3" width="19.90625" bestFit="1" customWidth="1"/>
    <col min="4" max="4" width="17.26953125" customWidth="1"/>
    <col min="5" max="5" width="12.26953125" customWidth="1"/>
    <col min="6" max="6" width="20" customWidth="1"/>
  </cols>
  <sheetData>
    <row r="1" spans="1:6" x14ac:dyDescent="0.35">
      <c r="A1" s="10" t="s">
        <v>42</v>
      </c>
      <c r="B1" s="10"/>
      <c r="C1" s="10"/>
      <c r="D1" s="10"/>
      <c r="E1" s="10"/>
      <c r="F1" s="10"/>
    </row>
    <row r="2" spans="1:6" x14ac:dyDescent="0.35">
      <c r="A2" s="10"/>
      <c r="B2" s="10"/>
      <c r="C2" s="10"/>
      <c r="D2" s="10"/>
      <c r="E2" s="10"/>
      <c r="F2" s="10"/>
    </row>
    <row r="3" spans="1:6" x14ac:dyDescent="0.35">
      <c r="A3" s="10" t="s">
        <v>43</v>
      </c>
      <c r="B3" s="10"/>
      <c r="C3" s="10"/>
      <c r="D3" s="10" t="s">
        <v>21</v>
      </c>
      <c r="E3" s="10"/>
      <c r="F3" s="10"/>
    </row>
    <row r="4" spans="1:6" x14ac:dyDescent="0.35">
      <c r="A4" s="10"/>
      <c r="B4" s="10"/>
      <c r="C4" s="10"/>
      <c r="D4" s="10"/>
      <c r="E4" s="10"/>
      <c r="F4" s="10"/>
    </row>
    <row r="5" spans="1:6" x14ac:dyDescent="0.35">
      <c r="A5" s="12" t="s">
        <v>1</v>
      </c>
      <c r="B5" s="12"/>
      <c r="C5" s="8" t="s">
        <v>46</v>
      </c>
      <c r="D5" s="12" t="s">
        <v>44</v>
      </c>
      <c r="E5" s="12"/>
      <c r="F5" s="8" t="s">
        <v>46</v>
      </c>
    </row>
    <row r="6" spans="1:6" x14ac:dyDescent="0.35">
      <c r="A6" s="9"/>
      <c r="B6" s="9"/>
    </row>
    <row r="7" spans="1:6" x14ac:dyDescent="0.35">
      <c r="A7" s="9" t="s">
        <v>48</v>
      </c>
      <c r="B7" s="9"/>
      <c r="C7" s="7" t="s">
        <v>47</v>
      </c>
      <c r="D7" s="12" t="s">
        <v>45</v>
      </c>
      <c r="E7" s="12"/>
      <c r="F7" s="8" t="s">
        <v>46</v>
      </c>
    </row>
    <row r="8" spans="1:6" x14ac:dyDescent="0.35">
      <c r="A8" s="9" t="s">
        <v>49</v>
      </c>
      <c r="B8" s="9"/>
      <c r="C8" s="7" t="s">
        <v>50</v>
      </c>
    </row>
    <row r="10" spans="1:6" x14ac:dyDescent="0.35">
      <c r="A10" s="9" t="s">
        <v>51</v>
      </c>
      <c r="B10" s="9"/>
      <c r="C10" s="7" t="s">
        <v>47</v>
      </c>
      <c r="D10" s="9" t="s">
        <v>48</v>
      </c>
      <c r="E10" s="9"/>
      <c r="F10" s="7" t="s">
        <v>47</v>
      </c>
    </row>
    <row r="11" spans="1:6" x14ac:dyDescent="0.35">
      <c r="A11" s="9" t="s">
        <v>49</v>
      </c>
      <c r="B11" s="9"/>
      <c r="C11" s="7" t="s">
        <v>52</v>
      </c>
      <c r="D11" s="9" t="s">
        <v>49</v>
      </c>
      <c r="E11" s="9"/>
      <c r="F11" s="7" t="s">
        <v>50</v>
      </c>
    </row>
    <row r="13" spans="1:6" x14ac:dyDescent="0.35">
      <c r="A13" s="9" t="s">
        <v>53</v>
      </c>
      <c r="B13" s="9"/>
      <c r="C13" s="7" t="s">
        <v>47</v>
      </c>
      <c r="D13" s="9" t="s">
        <v>51</v>
      </c>
      <c r="E13" s="9"/>
      <c r="F13" s="7" t="s">
        <v>47</v>
      </c>
    </row>
    <row r="14" spans="1:6" x14ac:dyDescent="0.35">
      <c r="A14" s="9" t="s">
        <v>49</v>
      </c>
      <c r="B14" s="9"/>
      <c r="C14" s="2" t="s">
        <v>54</v>
      </c>
      <c r="D14" s="9" t="s">
        <v>49</v>
      </c>
      <c r="E14" s="9"/>
      <c r="F14" s="7" t="s">
        <v>52</v>
      </c>
    </row>
    <row r="15" spans="1:6" x14ac:dyDescent="0.35">
      <c r="C15" s="2"/>
    </row>
    <row r="16" spans="1:6" x14ac:dyDescent="0.35">
      <c r="A16" s="9" t="s">
        <v>55</v>
      </c>
      <c r="B16" s="9"/>
      <c r="C16" s="7" t="s">
        <v>47</v>
      </c>
      <c r="D16" s="9" t="s">
        <v>53</v>
      </c>
      <c r="E16" s="9"/>
      <c r="F16" s="7" t="s">
        <v>47</v>
      </c>
    </row>
    <row r="17" spans="1:6" x14ac:dyDescent="0.35">
      <c r="A17" s="9" t="s">
        <v>49</v>
      </c>
      <c r="B17" s="9"/>
      <c r="C17" s="7" t="s">
        <v>27</v>
      </c>
      <c r="D17" s="9" t="s">
        <v>49</v>
      </c>
      <c r="E17" s="9"/>
      <c r="F17" s="2" t="s">
        <v>54</v>
      </c>
    </row>
    <row r="19" spans="1:6" x14ac:dyDescent="0.35">
      <c r="D19" s="9"/>
      <c r="E19" s="9"/>
      <c r="F19" s="7"/>
    </row>
    <row r="20" spans="1:6" x14ac:dyDescent="0.35">
      <c r="D20" s="9"/>
      <c r="E20" s="9"/>
      <c r="F20" s="7"/>
    </row>
  </sheetData>
  <mergeCells count="23">
    <mergeCell ref="D7:E7"/>
    <mergeCell ref="A1:F2"/>
    <mergeCell ref="A3:C4"/>
    <mergeCell ref="D3:F4"/>
    <mergeCell ref="A5:B5"/>
    <mergeCell ref="A6:B6"/>
    <mergeCell ref="D5:E5"/>
    <mergeCell ref="A7:B7"/>
    <mergeCell ref="A8:B8"/>
    <mergeCell ref="A10:B10"/>
    <mergeCell ref="A11:B11"/>
    <mergeCell ref="A13:B13"/>
    <mergeCell ref="D19:E19"/>
    <mergeCell ref="D20:E20"/>
    <mergeCell ref="A16:B16"/>
    <mergeCell ref="A17:B17"/>
    <mergeCell ref="D10:E10"/>
    <mergeCell ref="D11:E11"/>
    <mergeCell ref="D13:E13"/>
    <mergeCell ref="D14:E14"/>
    <mergeCell ref="D16:E16"/>
    <mergeCell ref="D17:E17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4A12-DD7A-4F8C-BDDD-BEA8237EE495}">
  <dimension ref="A1:F18"/>
  <sheetViews>
    <sheetView workbookViewId="0">
      <selection activeCell="B12" sqref="B12:F12"/>
    </sheetView>
  </sheetViews>
  <sheetFormatPr defaultRowHeight="14.5" x14ac:dyDescent="0.35"/>
  <cols>
    <col min="1" max="1" width="11.81640625" customWidth="1"/>
    <col min="2" max="2" width="14.54296875" customWidth="1"/>
  </cols>
  <sheetData>
    <row r="1" spans="1:6" x14ac:dyDescent="0.35">
      <c r="A1" s="10" t="s">
        <v>0</v>
      </c>
      <c r="B1" s="10" t="s">
        <v>58</v>
      </c>
      <c r="C1" s="10" t="s">
        <v>57</v>
      </c>
      <c r="D1" s="10"/>
      <c r="E1" s="10" t="s">
        <v>56</v>
      </c>
      <c r="F1" s="10"/>
    </row>
    <row r="2" spans="1:6" x14ac:dyDescent="0.35">
      <c r="A2" s="10"/>
      <c r="B2" s="10"/>
      <c r="C2" s="10"/>
      <c r="D2" s="10"/>
      <c r="E2" s="10"/>
      <c r="F2" s="10"/>
    </row>
    <row r="3" spans="1:6" x14ac:dyDescent="0.35">
      <c r="A3">
        <v>1</v>
      </c>
      <c r="B3">
        <v>0.4</v>
      </c>
      <c r="C3" s="9">
        <v>1</v>
      </c>
      <c r="D3" s="9"/>
      <c r="E3" s="9">
        <v>0.08</v>
      </c>
      <c r="F3" s="9"/>
    </row>
    <row r="4" spans="1:6" x14ac:dyDescent="0.35">
      <c r="A4">
        <v>2</v>
      </c>
      <c r="B4">
        <v>0.4</v>
      </c>
      <c r="C4" s="9">
        <v>1</v>
      </c>
      <c r="D4" s="9"/>
      <c r="E4" s="9">
        <v>0.09</v>
      </c>
      <c r="F4" s="9"/>
    </row>
    <row r="5" spans="1:6" x14ac:dyDescent="0.35">
      <c r="A5">
        <v>3</v>
      </c>
      <c r="B5">
        <v>0.4</v>
      </c>
      <c r="C5" s="9">
        <v>1</v>
      </c>
      <c r="D5" s="9"/>
      <c r="E5" s="9">
        <v>0.1</v>
      </c>
      <c r="F5" s="9"/>
    </row>
    <row r="6" spans="1:6" x14ac:dyDescent="0.35">
      <c r="A6">
        <v>4</v>
      </c>
      <c r="B6">
        <v>0.4</v>
      </c>
      <c r="C6" s="9">
        <v>1</v>
      </c>
      <c r="D6" s="9"/>
      <c r="E6" s="9">
        <v>0.11</v>
      </c>
      <c r="F6" s="9"/>
    </row>
    <row r="7" spans="1:6" x14ac:dyDescent="0.35">
      <c r="A7">
        <v>5</v>
      </c>
      <c r="B7">
        <v>0.45</v>
      </c>
      <c r="C7" s="9">
        <v>1</v>
      </c>
      <c r="D7" s="9"/>
      <c r="E7" s="9">
        <v>0.08</v>
      </c>
      <c r="F7" s="9"/>
    </row>
    <row r="8" spans="1:6" x14ac:dyDescent="0.35">
      <c r="A8">
        <v>6</v>
      </c>
      <c r="B8">
        <v>0.45</v>
      </c>
      <c r="C8" s="9">
        <v>1</v>
      </c>
      <c r="D8" s="9"/>
      <c r="E8" s="9">
        <v>0.09</v>
      </c>
      <c r="F8" s="9"/>
    </row>
    <row r="9" spans="1:6" x14ac:dyDescent="0.35">
      <c r="A9">
        <v>7</v>
      </c>
      <c r="B9">
        <v>0.45</v>
      </c>
      <c r="C9" s="9">
        <v>1</v>
      </c>
      <c r="D9" s="9"/>
      <c r="E9" s="9">
        <v>0.1</v>
      </c>
      <c r="F9" s="9"/>
    </row>
    <row r="10" spans="1:6" x14ac:dyDescent="0.35">
      <c r="A10">
        <v>8</v>
      </c>
      <c r="B10">
        <v>0.45</v>
      </c>
      <c r="C10" s="9">
        <v>1</v>
      </c>
      <c r="D10" s="9"/>
      <c r="E10" s="9">
        <v>0.11</v>
      </c>
      <c r="F10" s="9"/>
    </row>
    <row r="11" spans="1:6" x14ac:dyDescent="0.35">
      <c r="A11">
        <v>9</v>
      </c>
      <c r="B11">
        <v>0.47</v>
      </c>
      <c r="C11" s="9">
        <v>1</v>
      </c>
      <c r="D11" s="9"/>
      <c r="E11" s="9">
        <v>0.08</v>
      </c>
      <c r="F11" s="9"/>
    </row>
    <row r="12" spans="1:6" x14ac:dyDescent="0.35">
      <c r="A12">
        <v>10</v>
      </c>
      <c r="B12" s="13">
        <v>0.47</v>
      </c>
      <c r="C12" s="15">
        <v>1</v>
      </c>
      <c r="D12" s="15"/>
      <c r="E12" s="15">
        <v>0.09</v>
      </c>
      <c r="F12" s="15"/>
    </row>
    <row r="13" spans="1:6" x14ac:dyDescent="0.35">
      <c r="A13">
        <v>11</v>
      </c>
      <c r="B13">
        <v>0.47</v>
      </c>
      <c r="C13" s="9">
        <v>1</v>
      </c>
      <c r="D13" s="9"/>
      <c r="E13" s="9">
        <v>0.1</v>
      </c>
      <c r="F13" s="9"/>
    </row>
    <row r="14" spans="1:6" x14ac:dyDescent="0.35">
      <c r="A14">
        <v>12</v>
      </c>
      <c r="B14">
        <v>0.47</v>
      </c>
      <c r="C14" s="9">
        <v>1</v>
      </c>
      <c r="D14" s="9"/>
      <c r="E14" s="9">
        <v>0.11</v>
      </c>
      <c r="F14" s="9"/>
    </row>
    <row r="15" spans="1:6" x14ac:dyDescent="0.35">
      <c r="A15">
        <v>13</v>
      </c>
      <c r="B15">
        <v>0.5</v>
      </c>
      <c r="C15" s="9">
        <v>1</v>
      </c>
      <c r="D15" s="9"/>
      <c r="E15" s="9">
        <v>0.08</v>
      </c>
      <c r="F15" s="9"/>
    </row>
    <row r="16" spans="1:6" x14ac:dyDescent="0.35">
      <c r="A16">
        <v>14</v>
      </c>
      <c r="B16">
        <v>0.5</v>
      </c>
      <c r="C16" s="9">
        <v>1</v>
      </c>
      <c r="D16" s="9"/>
      <c r="E16" s="9">
        <v>0.09</v>
      </c>
      <c r="F16" s="9"/>
    </row>
    <row r="17" spans="1:6" x14ac:dyDescent="0.35">
      <c r="A17">
        <v>15</v>
      </c>
      <c r="B17">
        <v>0.5</v>
      </c>
      <c r="C17" s="9">
        <v>1</v>
      </c>
      <c r="D17" s="9"/>
      <c r="E17" s="9">
        <v>0.1</v>
      </c>
      <c r="F17" s="9"/>
    </row>
    <row r="18" spans="1:6" x14ac:dyDescent="0.35">
      <c r="A18">
        <v>16</v>
      </c>
      <c r="B18">
        <v>0.5</v>
      </c>
      <c r="C18" s="9">
        <v>1</v>
      </c>
      <c r="D18" s="9"/>
      <c r="E18" s="9">
        <v>0.11</v>
      </c>
      <c r="F18" s="9"/>
    </row>
  </sheetData>
  <mergeCells count="36">
    <mergeCell ref="C10:D10"/>
    <mergeCell ref="A1:A2"/>
    <mergeCell ref="B1:B2"/>
    <mergeCell ref="C1:D2"/>
    <mergeCell ref="E1:F2"/>
    <mergeCell ref="C3:D3"/>
    <mergeCell ref="C4:D4"/>
    <mergeCell ref="C5:D5"/>
    <mergeCell ref="C6:D6"/>
    <mergeCell ref="C7:D7"/>
    <mergeCell ref="C8:D8"/>
    <mergeCell ref="C9:D9"/>
    <mergeCell ref="C17:D17"/>
    <mergeCell ref="C18:D18"/>
    <mergeCell ref="E3:F3"/>
    <mergeCell ref="E4:F4"/>
    <mergeCell ref="E5:F5"/>
    <mergeCell ref="E6:F6"/>
    <mergeCell ref="E7:F7"/>
    <mergeCell ref="E8:F8"/>
    <mergeCell ref="E9:F9"/>
    <mergeCell ref="E10:F10"/>
    <mergeCell ref="C11:D11"/>
    <mergeCell ref="C12:D12"/>
    <mergeCell ref="C13:D13"/>
    <mergeCell ref="C14:D14"/>
    <mergeCell ref="C15:D15"/>
    <mergeCell ref="C16:D16"/>
    <mergeCell ref="E17:F17"/>
    <mergeCell ref="E18:F18"/>
    <mergeCell ref="E11:F11"/>
    <mergeCell ref="E12:F12"/>
    <mergeCell ref="E13:F13"/>
    <mergeCell ref="E14:F14"/>
    <mergeCell ref="E15:F15"/>
    <mergeCell ref="E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81EF-7B1A-40F7-BA78-68B8B6FC4D01}">
  <dimension ref="A1:O17"/>
  <sheetViews>
    <sheetView workbookViewId="0">
      <selection activeCell="H16" sqref="H16"/>
    </sheetView>
  </sheetViews>
  <sheetFormatPr defaultRowHeight="14.5" x14ac:dyDescent="0.35"/>
  <cols>
    <col min="12" max="12" width="10" customWidth="1"/>
    <col min="14" max="14" width="9.90625" style="4" customWidth="1"/>
  </cols>
  <sheetData>
    <row r="1" spans="1:15" ht="43.5" x14ac:dyDescent="0.35">
      <c r="A1" s="3" t="s">
        <v>0</v>
      </c>
      <c r="B1" s="1" t="s">
        <v>62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5</v>
      </c>
      <c r="H1" s="1" t="s">
        <v>13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15</v>
      </c>
      <c r="N1" s="1" t="s">
        <v>16</v>
      </c>
    </row>
    <row r="2" spans="1:15" x14ac:dyDescent="0.35">
      <c r="A2">
        <v>1</v>
      </c>
      <c r="B2">
        <v>113.97499999999999</v>
      </c>
      <c r="C2">
        <v>3690.7</v>
      </c>
      <c r="D2">
        <v>95.86</v>
      </c>
      <c r="E2">
        <v>3.48</v>
      </c>
      <c r="F2">
        <f>100-(D2+E2)</f>
        <v>0.65999999999999659</v>
      </c>
      <c r="G2">
        <v>21482.3</v>
      </c>
      <c r="H2">
        <v>300.73599999999999</v>
      </c>
      <c r="I2">
        <f>100-(J2+K2)</f>
        <v>1.1200000000000045</v>
      </c>
      <c r="J2">
        <v>6.83</v>
      </c>
      <c r="K2">
        <v>92.05</v>
      </c>
      <c r="L2">
        <v>3475</v>
      </c>
      <c r="M2">
        <v>9137</v>
      </c>
      <c r="N2" s="4" t="s">
        <v>59</v>
      </c>
    </row>
    <row r="3" spans="1:15" x14ac:dyDescent="0.35">
      <c r="A3">
        <v>2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s="4" t="s">
        <v>61</v>
      </c>
    </row>
    <row r="4" spans="1:15" x14ac:dyDescent="0.35">
      <c r="A4">
        <v>3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s="4" t="s">
        <v>61</v>
      </c>
    </row>
    <row r="5" spans="1:15" x14ac:dyDescent="0.35">
      <c r="A5">
        <v>4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s="4" t="s">
        <v>61</v>
      </c>
    </row>
    <row r="6" spans="1:15" x14ac:dyDescent="0.35">
      <c r="A6">
        <v>5</v>
      </c>
      <c r="B6">
        <v>113.96299999999999</v>
      </c>
      <c r="C6">
        <v>3876.65</v>
      </c>
      <c r="D6">
        <v>96.1</v>
      </c>
      <c r="E6">
        <v>3.3</v>
      </c>
      <c r="F6">
        <f>100-(D6+E6)</f>
        <v>0.60000000000000853</v>
      </c>
      <c r="G6">
        <v>21348.2</v>
      </c>
      <c r="H6">
        <v>207.125</v>
      </c>
      <c r="I6">
        <f>100-(J6+K6)</f>
        <v>0.48000000000000398</v>
      </c>
      <c r="J6">
        <v>6.88</v>
      </c>
      <c r="K6">
        <v>92.64</v>
      </c>
      <c r="L6">
        <v>3576</v>
      </c>
      <c r="M6">
        <v>2786</v>
      </c>
      <c r="N6" s="4" t="s">
        <v>59</v>
      </c>
      <c r="O6" t="s">
        <v>63</v>
      </c>
    </row>
    <row r="7" spans="1:15" x14ac:dyDescent="0.35">
      <c r="A7">
        <v>6</v>
      </c>
      <c r="B7">
        <v>113.97199999999999</v>
      </c>
      <c r="C7">
        <v>3824.78</v>
      </c>
      <c r="D7">
        <v>96.11</v>
      </c>
      <c r="E7">
        <v>3.3</v>
      </c>
      <c r="F7">
        <f>100-(D7+E7)</f>
        <v>0.59000000000000341</v>
      </c>
      <c r="G7">
        <v>21348.2</v>
      </c>
      <c r="H7">
        <v>207.125</v>
      </c>
      <c r="I7">
        <f>100-(K7+J7)</f>
        <v>0.48000000000000398</v>
      </c>
      <c r="J7">
        <v>6.88</v>
      </c>
      <c r="K7">
        <v>92.64</v>
      </c>
      <c r="L7">
        <v>3576</v>
      </c>
      <c r="M7">
        <v>2786</v>
      </c>
      <c r="N7" s="4" t="s">
        <v>59</v>
      </c>
      <c r="O7" t="s">
        <v>63</v>
      </c>
    </row>
    <row r="8" spans="1:15" x14ac:dyDescent="0.35">
      <c r="A8">
        <v>7</v>
      </c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s="4" t="s">
        <v>61</v>
      </c>
    </row>
    <row r="9" spans="1:15" x14ac:dyDescent="0.35">
      <c r="A9">
        <v>8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s="4" t="s">
        <v>61</v>
      </c>
    </row>
    <row r="10" spans="1:15" x14ac:dyDescent="0.35">
      <c r="A10">
        <v>9</v>
      </c>
      <c r="B10">
        <v>113.96899999999999</v>
      </c>
      <c r="C10">
        <v>3876.05</v>
      </c>
      <c r="D10">
        <v>96.15</v>
      </c>
      <c r="E10">
        <v>3.27</v>
      </c>
      <c r="F10">
        <f>100-(E10+D10)</f>
        <v>0.57999999999999829</v>
      </c>
      <c r="G10">
        <v>21296.9</v>
      </c>
      <c r="H10">
        <v>208.899</v>
      </c>
      <c r="I10">
        <f>100-(J10+K10)</f>
        <v>0.23299999999998988</v>
      </c>
      <c r="J10">
        <v>6.9</v>
      </c>
      <c r="K10">
        <v>92.867000000000004</v>
      </c>
      <c r="L10">
        <v>3617</v>
      </c>
      <c r="M10">
        <v>2858</v>
      </c>
      <c r="N10" s="4" t="s">
        <v>59</v>
      </c>
      <c r="O10" t="s">
        <v>63</v>
      </c>
    </row>
    <row r="11" spans="1:15" x14ac:dyDescent="0.35">
      <c r="A11">
        <v>10</v>
      </c>
      <c r="B11" s="13">
        <v>113.96899999999999</v>
      </c>
      <c r="C11" s="13">
        <v>3876.05</v>
      </c>
      <c r="D11" s="13">
        <v>96.15</v>
      </c>
      <c r="E11" s="13">
        <v>3.27</v>
      </c>
      <c r="F11" s="13">
        <f>100-(E11+D11)</f>
        <v>0.57999999999999829</v>
      </c>
      <c r="G11" s="13">
        <v>21296.9</v>
      </c>
      <c r="H11" s="13">
        <v>208.899</v>
      </c>
      <c r="I11" s="13">
        <f>100-(J11+K11)</f>
        <v>0.23299999999998988</v>
      </c>
      <c r="J11" s="13">
        <v>6.9</v>
      </c>
      <c r="K11" s="13">
        <v>92.867000000000004</v>
      </c>
      <c r="L11" s="13">
        <v>3617</v>
      </c>
      <c r="M11" s="13">
        <v>2858</v>
      </c>
      <c r="N11" s="14" t="s">
        <v>59</v>
      </c>
      <c r="O11" t="s">
        <v>63</v>
      </c>
    </row>
    <row r="12" spans="1:15" x14ac:dyDescent="0.35">
      <c r="A12">
        <v>11</v>
      </c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s="4" t="s">
        <v>61</v>
      </c>
    </row>
    <row r="13" spans="1:15" x14ac:dyDescent="0.35">
      <c r="A13">
        <v>12</v>
      </c>
      <c r="B13" t="s">
        <v>60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s="4" t="s">
        <v>61</v>
      </c>
    </row>
    <row r="14" spans="1:15" x14ac:dyDescent="0.35">
      <c r="A14">
        <v>13</v>
      </c>
      <c r="B14">
        <v>113.968</v>
      </c>
      <c r="C14">
        <v>3940.92</v>
      </c>
      <c r="D14">
        <v>95.69</v>
      </c>
      <c r="E14">
        <v>3.76</v>
      </c>
      <c r="G14">
        <v>21232.1</v>
      </c>
      <c r="H14">
        <v>211.053</v>
      </c>
      <c r="J14">
        <v>6.82</v>
      </c>
      <c r="K14">
        <v>93.15</v>
      </c>
      <c r="L14">
        <v>3701</v>
      </c>
      <c r="M14">
        <v>2978</v>
      </c>
      <c r="N14" s="4" t="s">
        <v>59</v>
      </c>
      <c r="O14" t="s">
        <v>63</v>
      </c>
    </row>
    <row r="15" spans="1:15" x14ac:dyDescent="0.35">
      <c r="A15">
        <v>14</v>
      </c>
      <c r="B15">
        <v>113.968</v>
      </c>
      <c r="C15">
        <v>3940.92</v>
      </c>
      <c r="D15">
        <v>95.69</v>
      </c>
      <c r="E15">
        <v>3.76</v>
      </c>
      <c r="G15">
        <v>21232.1</v>
      </c>
      <c r="H15">
        <v>211.053</v>
      </c>
      <c r="J15">
        <v>6.82</v>
      </c>
      <c r="K15">
        <v>93.15</v>
      </c>
      <c r="L15">
        <v>3701</v>
      </c>
      <c r="M15">
        <v>2978</v>
      </c>
      <c r="N15" s="4" t="s">
        <v>59</v>
      </c>
      <c r="O15" t="s">
        <v>63</v>
      </c>
    </row>
    <row r="16" spans="1:15" x14ac:dyDescent="0.35">
      <c r="A16">
        <v>15</v>
      </c>
      <c r="B16" t="s">
        <v>60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s="4" t="s">
        <v>61</v>
      </c>
    </row>
    <row r="17" spans="1:14" x14ac:dyDescent="0.35">
      <c r="A17">
        <v>16</v>
      </c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s="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F6F5-662F-490B-BC3A-6EBD88F23C86}">
  <dimension ref="A1:N17"/>
  <sheetViews>
    <sheetView tabSelected="1" workbookViewId="0">
      <selection activeCell="F18" sqref="F18"/>
    </sheetView>
  </sheetViews>
  <sheetFormatPr defaultRowHeight="14.5" x14ac:dyDescent="0.35"/>
  <cols>
    <col min="12" max="12" width="10.453125" customWidth="1"/>
    <col min="14" max="14" width="11.08984375" customWidth="1"/>
  </cols>
  <sheetData>
    <row r="1" spans="1:14" ht="43.5" x14ac:dyDescent="0.35">
      <c r="A1" s="3" t="s">
        <v>0</v>
      </c>
      <c r="B1" s="1" t="s">
        <v>4</v>
      </c>
      <c r="C1" s="1" t="s">
        <v>12</v>
      </c>
      <c r="D1" s="1" t="s">
        <v>6</v>
      </c>
      <c r="E1" s="1" t="s">
        <v>7</v>
      </c>
      <c r="F1" s="1" t="s">
        <v>8</v>
      </c>
      <c r="G1" s="1" t="s">
        <v>5</v>
      </c>
      <c r="H1" s="1" t="s">
        <v>13</v>
      </c>
      <c r="I1" s="1" t="s">
        <v>9</v>
      </c>
      <c r="J1" s="1" t="s">
        <v>10</v>
      </c>
      <c r="K1" s="1" t="s">
        <v>11</v>
      </c>
      <c r="L1" s="1" t="s">
        <v>17</v>
      </c>
      <c r="M1" s="1" t="s">
        <v>18</v>
      </c>
      <c r="N1" s="1" t="s">
        <v>16</v>
      </c>
    </row>
    <row r="2" spans="1:14" x14ac:dyDescent="0.35">
      <c r="A2">
        <v>1</v>
      </c>
      <c r="B2">
        <v>3606.77</v>
      </c>
      <c r="C2">
        <v>102.68</v>
      </c>
      <c r="D2">
        <f>100-(E2+F2)</f>
        <v>6.6200000000000045</v>
      </c>
      <c r="E2">
        <v>40.69</v>
      </c>
      <c r="F2">
        <v>52.69</v>
      </c>
      <c r="G2">
        <v>17875.5</v>
      </c>
      <c r="H2">
        <v>265.005</v>
      </c>
      <c r="I2">
        <f>100-(J2+K2)</f>
        <v>9.9000000000017963E-3</v>
      </c>
      <c r="J2">
        <v>1E-4</v>
      </c>
      <c r="K2">
        <v>99.99</v>
      </c>
      <c r="L2">
        <v>6858</v>
      </c>
      <c r="M2">
        <v>1027</v>
      </c>
      <c r="N2" t="s">
        <v>59</v>
      </c>
    </row>
    <row r="3" spans="1:14" x14ac:dyDescent="0.35">
      <c r="A3">
        <v>2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61</v>
      </c>
    </row>
    <row r="4" spans="1:14" x14ac:dyDescent="0.35">
      <c r="A4">
        <v>3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61</v>
      </c>
    </row>
    <row r="5" spans="1:14" x14ac:dyDescent="0.35">
      <c r="A5">
        <v>4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61</v>
      </c>
    </row>
    <row r="6" spans="1:14" x14ac:dyDescent="0.35">
      <c r="A6">
        <v>5</v>
      </c>
      <c r="B6">
        <v>3472.68</v>
      </c>
      <c r="C6">
        <v>106.1</v>
      </c>
      <c r="D6">
        <f>100-(E6+F6)</f>
        <v>2.8899999999999864</v>
      </c>
      <c r="E6">
        <v>42.34</v>
      </c>
      <c r="F6">
        <v>54.77</v>
      </c>
      <c r="G6">
        <v>17875.5</v>
      </c>
      <c r="H6">
        <v>265.005</v>
      </c>
      <c r="I6">
        <v>0</v>
      </c>
      <c r="J6">
        <v>0</v>
      </c>
      <c r="K6">
        <v>100</v>
      </c>
      <c r="L6">
        <v>6661</v>
      </c>
      <c r="M6">
        <v>5548</v>
      </c>
      <c r="N6" t="s">
        <v>59</v>
      </c>
    </row>
    <row r="7" spans="1:14" x14ac:dyDescent="0.35">
      <c r="A7">
        <v>6</v>
      </c>
      <c r="B7">
        <v>1474.19</v>
      </c>
      <c r="C7">
        <v>94.02</v>
      </c>
      <c r="D7">
        <v>6.8</v>
      </c>
      <c r="E7">
        <v>93.19</v>
      </c>
      <c r="F7">
        <f>100-(D7+E7)</f>
        <v>1.0000000000005116E-2</v>
      </c>
      <c r="G7">
        <v>19874</v>
      </c>
      <c r="H7">
        <v>245.392</v>
      </c>
      <c r="I7">
        <f>100-(J7+K7)</f>
        <v>9.9999999999909051E-3</v>
      </c>
      <c r="J7">
        <v>0.48</v>
      </c>
      <c r="K7">
        <v>99.51</v>
      </c>
      <c r="L7">
        <v>3562</v>
      </c>
      <c r="M7">
        <v>2331</v>
      </c>
      <c r="N7" t="s">
        <v>59</v>
      </c>
    </row>
    <row r="8" spans="1:14" x14ac:dyDescent="0.35">
      <c r="A8">
        <v>7</v>
      </c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61</v>
      </c>
    </row>
    <row r="9" spans="1:14" x14ac:dyDescent="0.35">
      <c r="A9">
        <v>8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61</v>
      </c>
    </row>
    <row r="10" spans="1:14" x14ac:dyDescent="0.35">
      <c r="A10">
        <v>9</v>
      </c>
      <c r="B10">
        <v>3241.4</v>
      </c>
      <c r="C10">
        <v>107.62</v>
      </c>
      <c r="D10">
        <f>100-(E10+F10)</f>
        <v>1.4499999999999886</v>
      </c>
      <c r="E10">
        <v>42.95</v>
      </c>
      <c r="F10">
        <v>55.6</v>
      </c>
      <c r="G10">
        <v>17875.5</v>
      </c>
      <c r="H10">
        <v>265.005</v>
      </c>
      <c r="I10">
        <v>0</v>
      </c>
      <c r="J10">
        <v>0</v>
      </c>
      <c r="K10">
        <v>100</v>
      </c>
      <c r="L10">
        <v>6579</v>
      </c>
      <c r="M10">
        <v>5334</v>
      </c>
      <c r="N10" t="s">
        <v>59</v>
      </c>
    </row>
    <row r="11" spans="1:14" x14ac:dyDescent="0.35">
      <c r="A11">
        <v>10</v>
      </c>
      <c r="B11" s="13">
        <v>1422.56</v>
      </c>
      <c r="C11" s="13">
        <v>96.64</v>
      </c>
      <c r="D11" s="13">
        <v>3.46</v>
      </c>
      <c r="E11" s="13">
        <v>96.53</v>
      </c>
      <c r="F11" s="13">
        <f>100-(E11+D11)</f>
        <v>1.0000000000005116E-2</v>
      </c>
      <c r="G11" s="13">
        <v>19874</v>
      </c>
      <c r="H11" s="13">
        <v>245.42099999999999</v>
      </c>
      <c r="I11" s="13">
        <f>100-(J11+K11)</f>
        <v>9.9999999999909051E-3</v>
      </c>
      <c r="J11" s="13">
        <v>0.48</v>
      </c>
      <c r="K11" s="13">
        <v>99.51</v>
      </c>
      <c r="L11" s="13">
        <v>3502</v>
      </c>
      <c r="M11" s="13">
        <v>2137</v>
      </c>
      <c r="N11" s="13" t="s">
        <v>59</v>
      </c>
    </row>
    <row r="12" spans="1:14" x14ac:dyDescent="0.35">
      <c r="A12">
        <v>11</v>
      </c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61</v>
      </c>
    </row>
    <row r="13" spans="1:14" x14ac:dyDescent="0.35">
      <c r="A13">
        <v>12</v>
      </c>
      <c r="B13" t="s">
        <v>60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61</v>
      </c>
    </row>
    <row r="14" spans="1:14" x14ac:dyDescent="0.35">
      <c r="A14">
        <v>13</v>
      </c>
      <c r="B14">
        <v>3356.55</v>
      </c>
      <c r="C14">
        <v>109.202</v>
      </c>
      <c r="D14">
        <f>100-(F14+E14)</f>
        <v>0.15999999999999659</v>
      </c>
      <c r="E14">
        <v>43.15</v>
      </c>
      <c r="F14">
        <v>56.69</v>
      </c>
      <c r="G14">
        <v>17875.5</v>
      </c>
      <c r="H14">
        <v>265.005</v>
      </c>
      <c r="I14">
        <v>0</v>
      </c>
      <c r="J14">
        <v>0</v>
      </c>
      <c r="K14">
        <v>100</v>
      </c>
      <c r="L14">
        <v>6450</v>
      </c>
      <c r="M14">
        <v>5053</v>
      </c>
      <c r="N14" t="s">
        <v>59</v>
      </c>
    </row>
    <row r="15" spans="1:14" x14ac:dyDescent="0.35">
      <c r="A15">
        <v>14</v>
      </c>
      <c r="B15">
        <v>1357.4</v>
      </c>
      <c r="C15">
        <v>99.57</v>
      </c>
      <c r="D15">
        <v>0.38</v>
      </c>
      <c r="F15">
        <v>99.61</v>
      </c>
      <c r="G15">
        <v>19874.7</v>
      </c>
      <c r="H15">
        <v>245.44499999999999</v>
      </c>
      <c r="J15">
        <v>0.48</v>
      </c>
      <c r="K15">
        <v>99.51</v>
      </c>
      <c r="L15">
        <v>3396</v>
      </c>
      <c r="M15">
        <v>1878</v>
      </c>
      <c r="N15" t="s">
        <v>59</v>
      </c>
    </row>
    <row r="16" spans="1:14" x14ac:dyDescent="0.35">
      <c r="A16">
        <v>15</v>
      </c>
      <c r="B16" t="s">
        <v>60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61</v>
      </c>
    </row>
    <row r="17" spans="1:14" x14ac:dyDescent="0.35">
      <c r="A17">
        <v>16</v>
      </c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AF14-EB56-4DD1-AD0A-3ECCC9DD6540}">
  <dimension ref="A1:G1"/>
  <sheetViews>
    <sheetView workbookViewId="0">
      <selection activeCell="J8" sqref="J8"/>
    </sheetView>
  </sheetViews>
  <sheetFormatPr defaultRowHeight="14.5" x14ac:dyDescent="0.35"/>
  <sheetData>
    <row r="1" spans="1:7" x14ac:dyDescent="0.35">
      <c r="A1" s="3"/>
      <c r="B1" s="1"/>
      <c r="C1" s="1"/>
      <c r="D1" s="1"/>
      <c r="E1" s="1"/>
      <c r="F1" s="1"/>
      <c r="G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Constant_Inputs</vt:lpstr>
      <vt:lpstr>Variable_Inputs</vt:lpstr>
      <vt:lpstr>Inputs</vt:lpstr>
      <vt:lpstr>Column1_results</vt:lpstr>
      <vt:lpstr>Column2_results</vt:lpstr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2026-06-22T18:35:35Z</dcterms:modified>
</cp:coreProperties>
</file>