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1\Code1\"/>
    </mc:Choice>
  </mc:AlternateContent>
  <xr:revisionPtr revIDLastSave="0" documentId="13_ncr:1_{7BC6A93C-283F-417D-8C37-F4CBEE8B9E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p5AI_Predicted" sheetId="1" r:id="rId1"/>
    <sheet name="Results_dws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" i="2" l="1"/>
  <c r="AL2" i="2"/>
  <c r="AL3" i="2"/>
  <c r="AL4" i="2"/>
  <c r="AL6" i="2"/>
  <c r="AK3" i="2"/>
  <c r="AK4" i="2"/>
  <c r="AK5" i="2"/>
  <c r="AK6" i="2"/>
  <c r="AK2" i="2"/>
  <c r="AJ3" i="2"/>
  <c r="AJ4" i="2"/>
  <c r="AJ5" i="2"/>
  <c r="AJ6" i="2"/>
  <c r="AJ2" i="2"/>
  <c r="AI2" i="2"/>
  <c r="AI3" i="2"/>
  <c r="AI4" i="2"/>
  <c r="AI5" i="2"/>
  <c r="AI6" i="2"/>
  <c r="AH3" i="2"/>
  <c r="AH4" i="2"/>
  <c r="AH5" i="2"/>
  <c r="AH6" i="2"/>
  <c r="AH2" i="2"/>
  <c r="AG3" i="2"/>
  <c r="AG4" i="2"/>
  <c r="AG5" i="2"/>
  <c r="AG6" i="2"/>
  <c r="AG2" i="2"/>
  <c r="AF3" i="2"/>
  <c r="AF4" i="2"/>
  <c r="AF5" i="2"/>
  <c r="AF6" i="2"/>
  <c r="AF2" i="2"/>
  <c r="AE3" i="2"/>
  <c r="AE4" i="2"/>
  <c r="AE5" i="2"/>
  <c r="AE6" i="2"/>
  <c r="AE2" i="2"/>
  <c r="AD3" i="2"/>
  <c r="AD4" i="2"/>
  <c r="AD5" i="2"/>
  <c r="AD6" i="2"/>
  <c r="AD2" i="2"/>
  <c r="AC3" i="2"/>
  <c r="AC4" i="2"/>
  <c r="AC5" i="2"/>
  <c r="AC6" i="2"/>
  <c r="AC2" i="2"/>
  <c r="AB3" i="2"/>
  <c r="AB4" i="2"/>
  <c r="AB5" i="2"/>
  <c r="AB6" i="2"/>
  <c r="AB2" i="2"/>
  <c r="AA3" i="2" l="1"/>
  <c r="AA4" i="2"/>
  <c r="AA5" i="2"/>
  <c r="AA6" i="2"/>
  <c r="AA2" i="2"/>
  <c r="W3" i="2"/>
  <c r="W4" i="2"/>
  <c r="W5" i="2"/>
  <c r="W6" i="2"/>
  <c r="W2" i="2"/>
  <c r="R3" i="2"/>
  <c r="R4" i="2"/>
  <c r="R5" i="2"/>
  <c r="R6" i="2"/>
  <c r="R2" i="2"/>
  <c r="K3" i="2"/>
  <c r="K4" i="2"/>
  <c r="K5" i="2"/>
  <c r="K6" i="2"/>
  <c r="K2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<sst xmlns="http://schemas.openxmlformats.org/spreadsheetml/2006/main" count="43" uniqueCount="43">
  <si>
    <t>Boilup</t>
  </si>
  <si>
    <t>Bottom Flow C2</t>
  </si>
  <si>
    <t>RR2</t>
  </si>
  <si>
    <t>Pressure C2</t>
  </si>
  <si>
    <t>Temp C1</t>
  </si>
  <si>
    <t>Predicted PPI</t>
  </si>
  <si>
    <t>Run</t>
  </si>
  <si>
    <t>Top  Flow Rate C1</t>
  </si>
  <si>
    <t>Top  Temp C1</t>
  </si>
  <si>
    <t>Ethanol Top C1</t>
  </si>
  <si>
    <t>Water Top C1</t>
  </si>
  <si>
    <t>EG Top C1</t>
  </si>
  <si>
    <t>Bottom Flow Rate C1</t>
  </si>
  <si>
    <t>Bottom Temp C1</t>
  </si>
  <si>
    <t>EG Bottom C1</t>
  </si>
  <si>
    <t>Water Bottom C1</t>
  </si>
  <si>
    <t>Ethanol Bottom C1</t>
  </si>
  <si>
    <t>Condenser Duty C1</t>
  </si>
  <si>
    <t>Reboiler Duty C1</t>
  </si>
  <si>
    <t>Top  Flow Rate C2</t>
  </si>
  <si>
    <t>Top  Temp C2</t>
  </si>
  <si>
    <t>Ethanol Top C2</t>
  </si>
  <si>
    <t>Water Top C2</t>
  </si>
  <si>
    <t>EG Top C2</t>
  </si>
  <si>
    <t>Bottom Flow Rate C2</t>
  </si>
  <si>
    <t>Bottom Temp C2</t>
  </si>
  <si>
    <t>EG Bottom C2</t>
  </si>
  <si>
    <t>Water Bottom C2</t>
  </si>
  <si>
    <t>Ethanol Bottom C2</t>
  </si>
  <si>
    <t>Condenser Duty C2</t>
  </si>
  <si>
    <t>Reboiler Duty C2</t>
  </si>
  <si>
    <t>Total Energy</t>
  </si>
  <si>
    <t>Ethanol Product flow</t>
  </si>
  <si>
    <t>Specific Energy</t>
  </si>
  <si>
    <t>Purity Score</t>
  </si>
  <si>
    <t>Ethanol Recovery</t>
  </si>
  <si>
    <t>EG Recovery</t>
  </si>
  <si>
    <t>Ethanol Purity</t>
  </si>
  <si>
    <t>Pn</t>
  </si>
  <si>
    <t>R</t>
  </si>
  <si>
    <t>Rn</t>
  </si>
  <si>
    <t>En</t>
  </si>
  <si>
    <t>Performance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</si>
</sst>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</font>
    <font>
      <b/>
      <sz val="11"/>
      <color rgb="FF006100"/>
      <name val="Calibri"/>
      <family val="2"/>
      <scheme val="minor"/>
    </font>
    <font>
      <b/>
      <sz val="11"/>
      <color rgb="FF006100"/>
      <name val="Calibri Light"/>
      <family val="2"/>
      <scheme val="major"/>
    </font>
    <font>
      <b/>
      <sz val="11"/>
      <color rgb="FF9C0006"/>
      <name val="Calibri Light"/>
      <family val="2"/>
      <scheme val="maj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2" borderId="0" xfId="1" applyFont="1" applyAlignment="1">
      <alignment horizontal="center" vertical="center"/>
    </xf>
    <xf numFmtId="0" fontId="6" fillId="2" borderId="0" xfId="1" applyFont="1" applyAlignment="1">
      <alignment vertical="center" wrapText="1"/>
    </xf>
    <xf numFmtId="0" fontId="7" fillId="3" borderId="0" xfId="2" applyFont="1" applyAlignment="1">
      <alignment vertical="center" wrapText="1"/>
    </xf>
    <xf numFmtId="0" fontId="8" fillId="4" borderId="0" xfId="3" applyFont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" sqref="F2:F6"/>
    </sheetView>
  </sheetViews>
  <sheetFormatPr defaultRowHeight="14.5" x14ac:dyDescent="0.35"/>
  <cols>
    <col min="1" max="1" width="11.54296875" customWidth="1"/>
    <col min="2" max="2" width="15.6328125" customWidth="1"/>
    <col min="4" max="4" width="13.1796875" customWidth="1"/>
    <col min="6" max="6" width="13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0.58799999999999997</v>
      </c>
      <c r="B2">
        <v>0.09</v>
      </c>
      <c r="C2">
        <v>2.5</v>
      </c>
      <c r="D2">
        <v>1.4</v>
      </c>
      <c r="E2">
        <v>239</v>
      </c>
      <c r="F2">
        <v>0.93637127015774391</v>
      </c>
    </row>
    <row r="3" spans="1:6" x14ac:dyDescent="0.35">
      <c r="A3">
        <v>0.57799999999999996</v>
      </c>
      <c r="B3">
        <v>0.09</v>
      </c>
      <c r="C3">
        <v>2.5</v>
      </c>
      <c r="D3">
        <v>1.4</v>
      </c>
      <c r="E3">
        <v>240</v>
      </c>
      <c r="F3">
        <v>0.93304710879162056</v>
      </c>
    </row>
    <row r="4" spans="1:6" x14ac:dyDescent="0.35">
      <c r="A4">
        <v>0.57999999999999996</v>
      </c>
      <c r="B4">
        <v>0.09</v>
      </c>
      <c r="C4">
        <v>2.5</v>
      </c>
      <c r="D4">
        <v>1.4</v>
      </c>
      <c r="E4">
        <v>239</v>
      </c>
      <c r="F4">
        <v>0.93171802264584058</v>
      </c>
    </row>
    <row r="5" spans="1:6" x14ac:dyDescent="0.35">
      <c r="A5">
        <v>0.58799999999999997</v>
      </c>
      <c r="B5">
        <v>0.09</v>
      </c>
      <c r="C5">
        <v>2.5</v>
      </c>
      <c r="D5">
        <v>1.4</v>
      </c>
      <c r="E5">
        <v>237</v>
      </c>
      <c r="F5">
        <v>0.93138647411023245</v>
      </c>
    </row>
    <row r="6" spans="1:6" x14ac:dyDescent="0.35">
      <c r="A6">
        <v>0.57899999999999996</v>
      </c>
      <c r="B6">
        <v>0.09</v>
      </c>
      <c r="C6">
        <v>2.5</v>
      </c>
      <c r="D6">
        <v>1.4</v>
      </c>
      <c r="E6">
        <v>239</v>
      </c>
      <c r="F6">
        <v>0.93113636670685274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5486-8A84-496B-BEEA-45B835D9B2EA}">
  <dimension ref="A1:AL6"/>
  <sheetViews>
    <sheetView topLeftCell="Z1" zoomScale="97" workbookViewId="0">
      <selection activeCell="AL5" sqref="AL5"/>
    </sheetView>
  </sheetViews>
  <sheetFormatPr defaultRowHeight="14.5" x14ac:dyDescent="0.35"/>
  <sheetData>
    <row r="1" spans="1:38" ht="43.5" x14ac:dyDescent="0.35">
      <c r="A1" s="2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</row>
    <row r="2" spans="1:38" x14ac:dyDescent="0.35">
      <c r="A2">
        <v>1</v>
      </c>
      <c r="B2">
        <v>3993.22</v>
      </c>
      <c r="C2">
        <v>113.86</v>
      </c>
      <c r="D2">
        <v>94.55</v>
      </c>
      <c r="E2">
        <v>5.05</v>
      </c>
      <c r="F2">
        <f>100-(D2+E2)</f>
        <v>0.40000000000000568</v>
      </c>
      <c r="G2">
        <v>21179.8</v>
      </c>
      <c r="H2">
        <v>212.78</v>
      </c>
      <c r="I2">
        <v>93.41</v>
      </c>
      <c r="J2">
        <v>6.58</v>
      </c>
      <c r="K2">
        <f>100-(I2+J2)</f>
        <v>1.0000000000005116E-2</v>
      </c>
      <c r="L2">
        <v>3781</v>
      </c>
      <c r="M2">
        <v>3432</v>
      </c>
      <c r="N2">
        <v>1301.0899999999999</v>
      </c>
      <c r="O2">
        <v>109.25</v>
      </c>
      <c r="P2">
        <v>0.05</v>
      </c>
      <c r="Q2">
        <v>99.94</v>
      </c>
      <c r="R2">
        <f>100-(P2+Q2)</f>
        <v>1.0000000000005116E-2</v>
      </c>
      <c r="S2">
        <v>19878.7</v>
      </c>
      <c r="T2">
        <v>259.18</v>
      </c>
      <c r="U2">
        <v>99.52</v>
      </c>
      <c r="V2">
        <v>0.47</v>
      </c>
      <c r="W2">
        <f>100-(U2+V2)</f>
        <v>1.0000000000005116E-2</v>
      </c>
      <c r="X2">
        <v>2820</v>
      </c>
      <c r="Y2">
        <v>1495</v>
      </c>
      <c r="AA2">
        <f>X2+Y2+L2+M2</f>
        <v>11528</v>
      </c>
      <c r="AB2">
        <f>(B2*(D2/100))</f>
        <v>3775.5895099999998</v>
      </c>
      <c r="AC2">
        <f>AA2/AB2</f>
        <v>3.0532980265643341</v>
      </c>
      <c r="AD2">
        <f>D2</f>
        <v>94.55</v>
      </c>
      <c r="AE2">
        <f>(((D2/100)*B2)/(0.73*5173))*100</f>
        <v>99.981450312343583</v>
      </c>
      <c r="AF2">
        <f>((S2*(U2/100))/(0.99*20000))*100</f>
        <v>99.915566868686867</v>
      </c>
      <c r="AG2">
        <f>D2</f>
        <v>94.55</v>
      </c>
      <c r="AH2">
        <f>(AG2-68.82)/(97.94-68.82)</f>
        <v>0.8835851648351648</v>
      </c>
      <c r="AI2">
        <f>(AE2+AF2)/2</f>
        <v>99.948508590515218</v>
      </c>
      <c r="AJ2">
        <f>((AI2-70.75084)/(100.29-70.75084))</f>
        <v>0.98843936626888551</v>
      </c>
      <c r="AK2">
        <f>((23309-AA2)/(23309-7747))</f>
        <v>0.75703637064644647</v>
      </c>
      <c r="AL2">
        <f>(0.4*AH2)+(0.4*AJ2)+(0.2*AK2)</f>
        <v>0.9002170865709096</v>
      </c>
    </row>
    <row r="3" spans="1:38" x14ac:dyDescent="0.35">
      <c r="A3">
        <v>2</v>
      </c>
      <c r="B3">
        <v>3981.21</v>
      </c>
      <c r="C3">
        <v>113.86</v>
      </c>
      <c r="D3">
        <v>94.83</v>
      </c>
      <c r="E3">
        <v>4.76</v>
      </c>
      <c r="F3">
        <f t="shared" ref="F3:F6" si="0">100-(D3+E3)</f>
        <v>0.40999999999999659</v>
      </c>
      <c r="G3">
        <v>21191.8</v>
      </c>
      <c r="H3">
        <v>212.42</v>
      </c>
      <c r="I3">
        <v>93.35</v>
      </c>
      <c r="J3">
        <v>6.63</v>
      </c>
      <c r="K3">
        <f t="shared" ref="K3:K6" si="1">100-(I3+J3)</f>
        <v>2.0000000000010232E-2</v>
      </c>
      <c r="L3">
        <v>3755</v>
      </c>
      <c r="M3">
        <v>3379</v>
      </c>
      <c r="N3">
        <v>1313.26</v>
      </c>
      <c r="O3">
        <v>109.24</v>
      </c>
      <c r="P3">
        <v>0.05</v>
      </c>
      <c r="Q3">
        <v>99.94</v>
      </c>
      <c r="R3">
        <f t="shared" ref="R3:R6" si="2">100-(P3+Q3)</f>
        <v>1.0000000000005116E-2</v>
      </c>
      <c r="S3">
        <v>19878.5</v>
      </c>
      <c r="T3">
        <v>259.17</v>
      </c>
      <c r="U3">
        <v>99.52</v>
      </c>
      <c r="V3">
        <v>0.47</v>
      </c>
      <c r="W3">
        <f t="shared" ref="W3:W6" si="3">100-(U3+V3)</f>
        <v>1.0000000000005116E-2</v>
      </c>
      <c r="X3">
        <v>2847</v>
      </c>
      <c r="Y3">
        <v>1541</v>
      </c>
      <c r="AA3">
        <f t="shared" ref="AA3:AA6" si="4">X3+Y3+L3+M3</f>
        <v>11522</v>
      </c>
      <c r="AB3">
        <f t="shared" ref="AB3:AB6" si="5">(B3*(D3/100))</f>
        <v>3775.3814430000002</v>
      </c>
      <c r="AC3">
        <f t="shared" ref="AC3:AC6" si="6">AA3/AB3</f>
        <v>3.0518770550623802</v>
      </c>
      <c r="AD3">
        <f t="shared" ref="AD3:AD6" si="7">D3</f>
        <v>94.83</v>
      </c>
      <c r="AE3">
        <f t="shared" ref="AE3:AE6" si="8">(((D3/100)*B3)/(0.73*5173))*100</f>
        <v>99.975940486562209</v>
      </c>
      <c r="AF3">
        <f t="shared" ref="AF3:AF6" si="9">((S3*(U3/100))/(0.99*20000))*100</f>
        <v>99.91456161616162</v>
      </c>
      <c r="AG3">
        <f t="shared" ref="AG3:AG6" si="10">D3</f>
        <v>94.83</v>
      </c>
      <c r="AH3">
        <f t="shared" ref="AH3:AH6" si="11">(AG3-68.82)/(97.94-68.82)</f>
        <v>0.8932005494505495</v>
      </c>
      <c r="AI3">
        <f t="shared" ref="AI3:AI6" si="12">(AE3+AF3)/2</f>
        <v>99.945251051361907</v>
      </c>
      <c r="AJ3">
        <f t="shared" ref="AJ3:AJ6" si="13">((AI3-70.75084)/(100.29-70.75084))</f>
        <v>0.98832908760309712</v>
      </c>
      <c r="AK3">
        <f t="shared" ref="AK3:AK6" si="14">((23309-AA3)/(23309-7747))</f>
        <v>0.75742192520241614</v>
      </c>
      <c r="AL3">
        <f t="shared" ref="AL3:AL6" si="15">(0.4*AH3)+(0.4*AJ3)+(0.2*AK3)</f>
        <v>0.90409623986194187</v>
      </c>
    </row>
    <row r="4" spans="1:38" x14ac:dyDescent="0.35">
      <c r="A4">
        <v>3</v>
      </c>
      <c r="B4">
        <v>3984.95</v>
      </c>
      <c r="C4">
        <v>113.86</v>
      </c>
      <c r="D4">
        <v>94.74</v>
      </c>
      <c r="E4">
        <v>4.8499999999999996</v>
      </c>
      <c r="F4">
        <f t="shared" si="0"/>
        <v>0.4100000000000108</v>
      </c>
      <c r="G4">
        <v>21188.1</v>
      </c>
      <c r="H4">
        <v>212.53</v>
      </c>
      <c r="I4">
        <v>93.37</v>
      </c>
      <c r="J4">
        <v>6.62</v>
      </c>
      <c r="K4">
        <f t="shared" si="1"/>
        <v>9.9999999999909051E-3</v>
      </c>
      <c r="L4">
        <v>3764</v>
      </c>
      <c r="M4">
        <v>3390</v>
      </c>
      <c r="N4">
        <v>1309.53</v>
      </c>
      <c r="O4">
        <v>109.24</v>
      </c>
      <c r="P4">
        <v>0.05</v>
      </c>
      <c r="Q4">
        <v>99.94</v>
      </c>
      <c r="R4">
        <f t="shared" si="2"/>
        <v>1.0000000000005116E-2</v>
      </c>
      <c r="S4">
        <v>19878.5</v>
      </c>
      <c r="T4">
        <v>259.17</v>
      </c>
      <c r="U4">
        <v>99.52</v>
      </c>
      <c r="V4">
        <v>0.47</v>
      </c>
      <c r="W4">
        <f t="shared" si="3"/>
        <v>1.0000000000005116E-2</v>
      </c>
      <c r="X4">
        <v>2838</v>
      </c>
      <c r="Y4">
        <v>1527</v>
      </c>
      <c r="AA4">
        <f t="shared" si="4"/>
        <v>11519</v>
      </c>
      <c r="AB4">
        <f t="shared" si="5"/>
        <v>3775.3416299999994</v>
      </c>
      <c r="AC4">
        <f t="shared" si="6"/>
        <v>3.0511146086665546</v>
      </c>
      <c r="AD4">
        <f t="shared" si="7"/>
        <v>94.74</v>
      </c>
      <c r="AE4">
        <f t="shared" si="8"/>
        <v>99.974886197829065</v>
      </c>
      <c r="AF4">
        <f t="shared" si="9"/>
        <v>99.91456161616162</v>
      </c>
      <c r="AG4">
        <f t="shared" si="10"/>
        <v>94.74</v>
      </c>
      <c r="AH4">
        <f t="shared" si="11"/>
        <v>0.89010989010989006</v>
      </c>
      <c r="AI4">
        <f t="shared" si="12"/>
        <v>99.944723906995335</v>
      </c>
      <c r="AJ4">
        <f t="shared" si="13"/>
        <v>0.98831124199182807</v>
      </c>
      <c r="AK4">
        <f t="shared" si="14"/>
        <v>0.75761470248040097</v>
      </c>
      <c r="AL4">
        <f t="shared" si="15"/>
        <v>0.90289139333676749</v>
      </c>
    </row>
    <row r="5" spans="1:38" x14ac:dyDescent="0.35">
      <c r="A5">
        <v>4</v>
      </c>
      <c r="B5">
        <v>3979.97</v>
      </c>
      <c r="C5">
        <v>113.86</v>
      </c>
      <c r="D5">
        <v>94.86</v>
      </c>
      <c r="E5">
        <v>4.74</v>
      </c>
      <c r="F5">
        <f t="shared" si="0"/>
        <v>0.40000000000000568</v>
      </c>
      <c r="G5">
        <v>21193</v>
      </c>
      <c r="H5">
        <v>212.41</v>
      </c>
      <c r="I5">
        <v>93.35</v>
      </c>
      <c r="J5">
        <v>6.64</v>
      </c>
      <c r="K5">
        <f t="shared" si="1"/>
        <v>1.0000000000005116E-2</v>
      </c>
      <c r="L5">
        <v>3746</v>
      </c>
      <c r="M5">
        <v>3430</v>
      </c>
      <c r="N5">
        <v>1313.95</v>
      </c>
      <c r="O5">
        <v>109.25</v>
      </c>
      <c r="P5">
        <v>0.05</v>
      </c>
      <c r="Q5">
        <v>99.94</v>
      </c>
      <c r="R5">
        <f t="shared" si="2"/>
        <v>1.0000000000005116E-2</v>
      </c>
      <c r="S5">
        <v>19879.099999999999</v>
      </c>
      <c r="T5">
        <v>259.20999999999998</v>
      </c>
      <c r="U5">
        <v>99.52</v>
      </c>
      <c r="V5">
        <v>0.47</v>
      </c>
      <c r="W5">
        <f t="shared" si="3"/>
        <v>1.0000000000005116E-2</v>
      </c>
      <c r="X5">
        <v>2848</v>
      </c>
      <c r="Y5">
        <v>1544</v>
      </c>
      <c r="AA5">
        <f t="shared" si="4"/>
        <v>11568</v>
      </c>
      <c r="AB5">
        <f t="shared" si="5"/>
        <v>3775.3995419999997</v>
      </c>
      <c r="AC5">
        <f t="shared" si="6"/>
        <v>3.0640465654853335</v>
      </c>
      <c r="AD5">
        <f t="shared" si="7"/>
        <v>94.86</v>
      </c>
      <c r="AE5">
        <f t="shared" si="8"/>
        <v>99.97641976649038</v>
      </c>
      <c r="AF5">
        <f t="shared" si="9"/>
        <v>99.917577373737373</v>
      </c>
      <c r="AG5">
        <f t="shared" si="10"/>
        <v>94.86</v>
      </c>
      <c r="AH5">
        <f t="shared" si="11"/>
        <v>0.89423076923076927</v>
      </c>
      <c r="AI5">
        <f t="shared" si="12"/>
        <v>99.946998570113877</v>
      </c>
      <c r="AJ5">
        <f t="shared" si="13"/>
        <v>0.98838824699530625</v>
      </c>
      <c r="AK5">
        <f t="shared" si="14"/>
        <v>0.754466006939982</v>
      </c>
      <c r="AL5">
        <f>(0.4*AH5)+(0.4*AJ5)+(0.2*AK5)</f>
        <v>0.90394080787842679</v>
      </c>
    </row>
    <row r="6" spans="1:38" x14ac:dyDescent="0.35">
      <c r="A6">
        <v>5</v>
      </c>
      <c r="B6">
        <v>3976.44</v>
      </c>
      <c r="C6">
        <v>113.87</v>
      </c>
      <c r="D6">
        <v>94.94</v>
      </c>
      <c r="E6">
        <v>4.6500000000000004</v>
      </c>
      <c r="F6">
        <f t="shared" si="0"/>
        <v>0.40999999999999659</v>
      </c>
      <c r="G6">
        <v>21196.6</v>
      </c>
      <c r="H6">
        <v>212.29</v>
      </c>
      <c r="I6">
        <v>93.33</v>
      </c>
      <c r="J6">
        <v>6.65</v>
      </c>
      <c r="K6">
        <f t="shared" si="1"/>
        <v>1.9999999999996021E-2</v>
      </c>
      <c r="L6">
        <v>3742</v>
      </c>
      <c r="M6">
        <v>3384</v>
      </c>
      <c r="N6">
        <v>1317.83</v>
      </c>
      <c r="O6">
        <v>109.24</v>
      </c>
      <c r="P6">
        <v>0.05</v>
      </c>
      <c r="Q6">
        <v>99.94</v>
      </c>
      <c r="R6">
        <f t="shared" si="2"/>
        <v>1.0000000000005116E-2</v>
      </c>
      <c r="S6">
        <v>19878.7</v>
      </c>
      <c r="T6">
        <v>259.18</v>
      </c>
      <c r="U6">
        <v>99.52</v>
      </c>
      <c r="V6">
        <v>0.47</v>
      </c>
      <c r="W6">
        <f t="shared" si="3"/>
        <v>1.0000000000005116E-2</v>
      </c>
      <c r="X6">
        <v>2856</v>
      </c>
      <c r="Y6">
        <v>1559</v>
      </c>
      <c r="AA6">
        <f t="shared" si="4"/>
        <v>11541</v>
      </c>
      <c r="AB6">
        <f t="shared" si="5"/>
        <v>3775.2321360000001</v>
      </c>
      <c r="AC6">
        <f t="shared" si="6"/>
        <v>3.0570305571270437</v>
      </c>
      <c r="AD6">
        <f t="shared" si="7"/>
        <v>94.94</v>
      </c>
      <c r="AE6">
        <f t="shared" si="8"/>
        <v>99.971986685344618</v>
      </c>
      <c r="AF6">
        <f t="shared" si="9"/>
        <v>99.915566868686867</v>
      </c>
      <c r="AG6">
        <f t="shared" si="10"/>
        <v>94.94</v>
      </c>
      <c r="AH6">
        <f t="shared" si="11"/>
        <v>0.89697802197802201</v>
      </c>
      <c r="AI6">
        <f t="shared" si="12"/>
        <v>99.943776777015742</v>
      </c>
      <c r="AJ6">
        <f t="shared" si="13"/>
        <v>0.98827917845381308</v>
      </c>
      <c r="AK6">
        <f t="shared" si="14"/>
        <v>0.75620100244184552</v>
      </c>
      <c r="AL6">
        <f t="shared" si="15"/>
        <v>0.90534308066110314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Top5AI_Predicted</vt:lpstr>
      <vt:lpstr>Results_dwsim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2026-07-06T15:26:40Z</dcterms:modified>
</cp:coreProperties>
</file>